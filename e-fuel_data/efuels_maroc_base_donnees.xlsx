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_moi" sheetId="1" state="visible" r:id="rId3"/>
    <sheet name="Synthese_cles" sheetId="2" state="visible" r:id="rId4"/>
    <sheet name="Voies_procedes" sheetId="3" state="visible" r:id="rId5"/>
    <sheet name="Produits" sheetId="4" state="visible" r:id="rId6"/>
    <sheet name="Electrolyse" sheetId="5" state="visible" r:id="rId7"/>
    <sheet name="Capture_CO2" sheetId="6" state="visible" r:id="rId8"/>
    <sheet name="Azote_H2_Eau_Elec" sheetId="7" state="visible" r:id="rId9"/>
    <sheet name="Projets_35" sheetId="8" state="visible" r:id="rId10"/>
    <sheet name="LCOE_pays" sheetId="9" state="visible" r:id="rId11"/>
    <sheet name="Politiques_regl" sheetId="10" state="visible" r:id="rId12"/>
    <sheet name="Barrieres_Risques" sheetId="11" state="visible" r:id="rId13"/>
    <sheet name="Maroc_Contexte" sheetId="12" state="visible" r:id="rId14"/>
    <sheet name="Opportunites_Innovation" sheetId="13" state="visible" r:id="rId15"/>
    <sheet name="Calculateur_LCOE" sheetId="14" state="visible" r:id="rId16"/>
    <sheet name="Sensibilite" sheetId="15" state="visible" r:id="rId17"/>
    <sheet name="Matrice_Decision" sheetId="16" state="visible" r:id="rId18"/>
    <sheet name="Hypotheses_Registre" sheetId="17" state="visible" r:id="rId19"/>
    <sheet name="Alertes_qualite" sheetId="18" state="visible" r:id="rId20"/>
    <sheet name="Sourc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<sst xmlns="http://schemas.openxmlformats.org/spreadsheetml/2006/main" count="1956" uniqueCount="1418">
  <si>
    <t xml:space="preserve">Base de données e-fuels liquides — Sherpa Engineering (prototype Maroc)</t>
  </si>
  <si>
    <t xml:space="preserve">Décarbonation énergétique du Maroc : PV, éolien, stockage, dessalement, électrolyse, carburants de synthèse — module e-fuels</t>
  </si>
  <si>
    <t xml:space="preserve">Élément</t>
  </si>
  <si>
    <t xml:space="preserve">Description</t>
  </si>
  <si>
    <t xml:space="preserve">Objet</t>
  </si>
  <si>
    <t xml:space="preserve">Base condensée sur les carburants électro-synthétiques liquides (e-kérosène, e-diesel, e-méthanol, e-DME, e-essence, e-ammoniac) pour aider à la décision d'investissement d'une entreprise au Maroc.</t>
  </si>
  <si>
    <t xml:space="preserve">Source principale [ART]</t>
  </si>
  <si>
    <t xml:space="preserve">Colelli L., Dell'Aversano S., Bassano C., Vanga G., Gallucci K., Vilardi G. (2026). Liquid e-fuels for a sustainable future: a comprehensive review of production, regulation, and technological innovation. Energy Conversion and Management. doi:10.1016/j.enconman.2025.120529</t>
  </si>
  <si>
    <t xml:space="preserve">[HYP]</t>
  </si>
  <si>
    <t xml:space="preserve">Hypothèse Sherpa / connaissance générale, NON issue de l'article. Cellules jaunes. À valider avec des données Maroc (devis, PPA, mesures de site) avant toute décision.</t>
  </si>
  <si>
    <t xml:space="preserve">[CALC]</t>
  </si>
  <si>
    <t xml:space="preserve">Valeur calculée par formule dans ce classeur (recalcule si les entrées changent).</t>
  </si>
  <si>
    <t xml:space="preserve">Code couleur</t>
  </si>
  <si>
    <t xml:space="preserve">Texte bleu = entrée modifiable · texte noir = formule ou donnée de référence · texte vert = lien vers une autre feuille · fond jaune = hypothèse clé à valider.</t>
  </si>
  <si>
    <t xml:space="preserve">Avertissement</t>
  </si>
  <si>
    <t xml:space="preserve">Le calculateur est un modèle simplifié de pré-faisabilité (±30–50 %). Il ne remplace ni une étude de faisabilité ni un devis fournisseur. Les coûts de l'article proviennent de sources hétérogènes (hypothèses ACV et limites de système différentes).</t>
  </si>
  <si>
    <t xml:space="preserve">Mise à jour</t>
  </si>
  <si>
    <t xml:space="preserve">Les chiffres de l'article datent de 2024-2025. Les coûts d'électrolyseurs, de captage CO2 et la réglementation évoluent vite : revérifier avant usage.</t>
  </si>
  <si>
    <t xml:space="preserve">Index des feuilles</t>
  </si>
  <si>
    <t xml:space="preserve">Feuille</t>
  </si>
  <si>
    <t xml:space="preserve">Contenu</t>
  </si>
  <si>
    <t xml:space="preserve">Synthese_cles</t>
  </si>
  <si>
    <t xml:space="preserve">27 messages clés chiffrés de l'article.</t>
  </si>
  <si>
    <t xml:space="preserve">Voies_procedes</t>
  </si>
  <si>
    <t xml:space="preserve">Réactions, T/P, catalyseurs, réacteurs : électrolyse, FT, méthanol, DME, MTG, Haber–Bosch.</t>
  </si>
  <si>
    <t xml:space="preserve">Produits</t>
  </si>
  <si>
    <t xml:space="preserve">Fiche des 6 e-fuels : coûts, CAPEX, rendements, usages.</t>
  </si>
  <si>
    <t xml:space="preserve">Electrolyse</t>
  </si>
  <si>
    <t xml:space="preserve">Table 4 de l'article (AEL/PEM/SOEC) + paramètres numériques pour les formules.</t>
  </si>
  <si>
    <t xml:space="preserve">Capture_CO2</t>
  </si>
  <si>
    <t xml:space="preserve">Coûts, TRL, technologies de captage, énergie DAC.</t>
  </si>
  <si>
    <t xml:space="preserve">Azote_H2_Eau_Elec</t>
  </si>
  <si>
    <t xml:space="preserve">Besoins en N2, H2, eau et électricité.</t>
  </si>
  <si>
    <t xml:space="preserve">Projets_35</t>
  </si>
  <si>
    <t xml:space="preserve">35 projets mondiaux (Table 5) + statistiques par formules.</t>
  </si>
  <si>
    <t xml:space="preserve">LCOE_pays</t>
  </si>
  <si>
    <t xml:space="preserve">Hypothèses LCOE par pays (Table 6) et comparaison avec le Maroc [HYP].</t>
  </si>
  <si>
    <t xml:space="preserve">Politiques_regl</t>
  </si>
  <si>
    <t xml:space="preserve">UE, USA, Australie, Chine, ASTM/SAF, certification.</t>
  </si>
  <si>
    <t xml:space="preserve">Barrieres_Risques</t>
  </si>
  <si>
    <t xml:space="preserve">Barrières, risques et mesures d'atténuation.</t>
  </si>
  <si>
    <t xml:space="preserve">Maroc_Contexte</t>
  </si>
  <si>
    <t xml:space="preserve">Contexte marocain [HYP] avec niveau de confiance et données à collecter.</t>
  </si>
  <si>
    <t xml:space="preserve">Opportunites_Innovation</t>
  </si>
  <si>
    <t xml:space="preserve">14 pistes d'innovation pour Sherpa Engineering.</t>
  </si>
  <si>
    <t xml:space="preserve">Calculateur_LCOE</t>
  </si>
  <si>
    <t xml:space="preserve">Modèle de coût de production par e-fuel (formules).</t>
  </si>
  <si>
    <t xml:space="preserve">Sensibilite</t>
  </si>
  <si>
    <t xml:space="preserve">Tableaux de sensibilité (LCOH, coût du produit).</t>
  </si>
  <si>
    <t xml:space="preserve">Matrice_Decision</t>
  </si>
  <si>
    <t xml:space="preserve">Notation pondérée des 6 e-fuels (poids modifiables).</t>
  </si>
  <si>
    <t xml:space="preserve">Hypotheses_Registre</t>
  </si>
  <si>
    <t xml:space="preserve">Registre des hypothèses [HYP] reliées au calculateur.</t>
  </si>
  <si>
    <t xml:space="preserve">Alertes_qualite</t>
  </si>
  <si>
    <t xml:space="preserve">Limites et incohérences relevées dans l'article.</t>
  </si>
  <si>
    <t xml:space="preserve">Sources</t>
  </si>
  <si>
    <t xml:space="preserve">Références clés de l'article.</t>
  </si>
  <si>
    <t xml:space="preserve">Synthèse — messages clés de l'article</t>
  </si>
  <si>
    <t xml:space="preserve">Chaque ligne renvoie à une section de l'article [ART].</t>
  </si>
  <si>
    <t xml:space="preserve">Thème</t>
  </si>
  <si>
    <t xml:space="preserve">Message clé</t>
  </si>
  <si>
    <t xml:space="preserve">Chiffre clé</t>
  </si>
  <si>
    <t xml:space="preserve">Source</t>
  </si>
  <si>
    <t xml:space="preserve">Contexte</t>
  </si>
  <si>
    <t xml:space="preserve">Les combustibles fossiles représentaient près de 80 % de l'énergie primaire mondiale en 2023.</t>
  </si>
  <si>
    <t xml:space="preserve">~80 %</t>
  </si>
  <si>
    <t xml:space="preserve">[ART] §1</t>
  </si>
  <si>
    <t xml:space="preserve">Les e-fuels (H2 vert + CO2/N2 capté + électricité renouvelable) sont des carburants « drop-in » pour aviation, maritime et poids lourds, secteurs difficiles à électrifier.</t>
  </si>
  <si>
    <t xml:space="preserve">6 e-fuels liquides</t>
  </si>
  <si>
    <t xml:space="preserve">[ART] §1, §4</t>
  </si>
  <si>
    <t xml:space="preserve">Voies</t>
  </si>
  <si>
    <t xml:space="preserve">Trois procédés industriels : Fischer–Tropsch (e-kérosène, e-diesel, e-essence via RWGS), méthanol (e-méthanol, e-DME, e-essence via MTG) et Haber–Bosch (e-ammoniac).</t>
  </si>
  <si>
    <t xml:space="preserve">3 procédés</t>
  </si>
  <si>
    <t xml:space="preserve">[ART] §4</t>
  </si>
  <si>
    <t xml:space="preserve">Performance</t>
  </si>
  <si>
    <t xml:space="preserve">Rendements de procédé revus : 59 % à 89 % (attention : rendement de la conversion, pas du chaînage électricité→carburant).</t>
  </si>
  <si>
    <t xml:space="preserve">59–89 %</t>
  </si>
  <si>
    <t xml:space="preserve">[ART] résumé</t>
  </si>
  <si>
    <t xml:space="preserve">Coût actuel</t>
  </si>
  <si>
    <t xml:space="preserve">Coût de production du kérosène/méthanol de synthèse : 1 200 à 4 200 €/t selon voie et maturité.</t>
  </si>
  <si>
    <t xml:space="preserve">1 200–4 200 €/t</t>
  </si>
  <si>
    <t xml:space="preserve">Coût e-kérosène</t>
  </si>
  <si>
    <t xml:space="preserve">Aujourd'hui : 3 062–4 100 €/t (voie méthanol) et 3 245–4 215 €/t (voie FT). 2050 : 1 206–1 719 €/t (méthanol) et 1 352–1 841 €/t (FT). Rendement 59–78 %.</t>
  </si>
  <si>
    <t xml:space="preserve">3 062–4 215 €/t → 1 206–1 841 €/t</t>
  </si>
  <si>
    <t xml:space="preserve">[ART] §4.4.1 (réf. [247])</t>
  </si>
  <si>
    <t xml:space="preserve">Coût e-diesel</t>
  </si>
  <si>
    <t xml:space="preserve">Prix de vente minimal estimé 3 400–3 520 €/t ; rendement 59–78 %.</t>
  </si>
  <si>
    <t xml:space="preserve">3 400–3 520 €/t</t>
  </si>
  <si>
    <t xml:space="preserve">[ART] §4.4.2</t>
  </si>
  <si>
    <t xml:space="preserve">Coût e-méthanol</t>
  </si>
  <si>
    <t xml:space="preserve">Prix moyen ~3 208 €/t, coût total de production 3 409 €/t ; CAPEX 300–1 200 €/kW_fuel (proche terme) → 200–650 (long terme) ; rendement 69–89 %.</t>
  </si>
  <si>
    <t xml:space="preserve">3 208–3 409 €/t</t>
  </si>
  <si>
    <t xml:space="preserve">[ART] §4.4.3</t>
  </si>
  <si>
    <t xml:space="preserve">Coût e-essence</t>
  </si>
  <si>
    <t xml:space="preserve">Prix de vente minimal 3,24 USD/L ; CAPEX MTG 600 €/kW_fuel → 250–370 ; rendement ~86 %.</t>
  </si>
  <si>
    <t xml:space="preserve">3,24 USD/L</t>
  </si>
  <si>
    <t xml:space="preserve">[ART] §4.4.5</t>
  </si>
  <si>
    <t xml:space="preserve">Coût e-ammoniac</t>
  </si>
  <si>
    <t xml:space="preserve">CAPEX 1 300–2 200 €/kW_fuel → 580–1 100 €/kW_fuel (long terme) ; rendement 61–79 %.</t>
  </si>
  <si>
    <t xml:space="preserve">1 300–2 200 €/kW</t>
  </si>
  <si>
    <t xml:space="preserve">[ART] §4.4.6</t>
  </si>
  <si>
    <t xml:space="preserve">Hydrogène</t>
  </si>
  <si>
    <t xml:space="preserve">Electrolyse : 45–73 kWh/kg H2 ; coût H2 3–6 €/kg selon électrolyseur et prix de l'électricité.</t>
  </si>
  <si>
    <t xml:space="preserve">45–73 kWh/kg</t>
  </si>
  <si>
    <t xml:space="preserve">[ART] §3.5, §5</t>
  </si>
  <si>
    <t xml:space="preserve">Électrolyseurs</t>
  </si>
  <si>
    <t xml:space="preserve">PEM = technologie la plus utilisée dans les projets (TRL 8–9), puis AEL ; SOEC (TRL 6–7) la plus efficace mais durabilité limitée (8–20 kh).</t>
  </si>
  <si>
    <t xml:space="preserve">PEM &gt; AEL &gt; SOEC</t>
  </si>
  <si>
    <t xml:space="preserve">[ART] §3.3, §5, Table 4</t>
  </si>
  <si>
    <t xml:space="preserve">CO2</t>
  </si>
  <si>
    <t xml:space="preserve">Coûts de captage : 30–150 $/t (sources ponctuelles) ; DAC 235–600 $/t. Le coût DAC ne descend pas sous ~235 $/t, ~100–150 $/t seulement avec incitations fortes.</t>
  </si>
  <si>
    <t xml:space="preserve">DAC 235–600 $/t</t>
  </si>
  <si>
    <t xml:space="preserve">[ART] §3.2.3, Table 2</t>
  </si>
  <si>
    <t xml:space="preserve">CO2 sources projets</t>
  </si>
  <si>
    <t xml:space="preserve">Sources de CO2 les plus utilisées dans les projets : émissions industrielles et CO2 biogénique, puis DAC.</t>
  </si>
  <si>
    <t xml:space="preserve">—</t>
  </si>
  <si>
    <t xml:space="preserve">[ART] §5</t>
  </si>
  <si>
    <t xml:space="preserve">Électricité</t>
  </si>
  <si>
    <t xml:space="preserve">Pas assez d'heures pleine charge dans beaucoup de régions (3 000–4 000 h/an). Afrique du Nord / Moyen-Orient cités comme solution possible pour lever ce goulot.</t>
  </si>
  <si>
    <t xml:space="preserve">3 000–4 000 h/an</t>
  </si>
  <si>
    <t xml:space="preserve">[ART] §3.5</t>
  </si>
  <si>
    <t xml:space="preserve">Eau</t>
  </si>
  <si>
    <t xml:space="preserve">Électrolyse : 8,92 L/kg H2 stœchiométrique, +25 % en pratique (~11,15 L/kg). SMR ≈ 11,7 kg eau/kg H2 contre jusqu'à 30 kg/kg pour l'électrolyse (gate-to-grave).</t>
  </si>
  <si>
    <t xml:space="preserve">8,92 L/kg H2 (+25 %)</t>
  </si>
  <si>
    <t xml:space="preserve">[ART] §3.4</t>
  </si>
  <si>
    <t xml:space="preserve">Eau e-kérosène</t>
  </si>
  <si>
    <t xml:space="preserve">E-kérosène FT-DAC : consommation d'eau de −0,8 à 8 kg/kg (récupération nette possible) contre ~0,53 kg/kg pour le Jet A-1 fossile.</t>
  </si>
  <si>
    <t xml:space="preserve">−0,8 à 8 kg/kg</t>
  </si>
  <si>
    <t xml:space="preserve">[ART] §3.4, Fig. 9</t>
  </si>
  <si>
    <t xml:space="preserve">Carbone électricité</t>
  </si>
  <si>
    <t xml:space="preserve">Intensité du réseau mondial 481 gCO2/kWh (2023) ; médianes ACV : PV 48, CSP 27, éolien terrestre 12 gCO2eq/kWh.</t>
  </si>
  <si>
    <t xml:space="preserve">12–48 gCO2eq/kWh</t>
  </si>
  <si>
    <t xml:space="preserve">Réglementation UE</t>
  </si>
  <si>
    <t xml:space="preserve">ReFuelEU Aviation : mandat SAF de 2 % (2025) à 63 % (2050) ; RED fixe des cibles RFNBO ; FuelEU Maritime soutient e-méthanol et e-ammoniac.</t>
  </si>
  <si>
    <t xml:space="preserve">2 % → 63 %</t>
  </si>
  <si>
    <t xml:space="preserve">[ART] §2.1</t>
  </si>
  <si>
    <t xml:space="preserve">Certification SAF</t>
  </si>
  <si>
    <t xml:space="preserve">ASTM D4054 : 3 à 5 ans et jusqu'à 15 M$ ; Fast Track (2020) limité à 10 % de mélange. Aucune voie certifiée à 100 % en aviation commerciale.</t>
  </si>
  <si>
    <t xml:space="preserve">3–5 ans, ≤15 M$</t>
  </si>
  <si>
    <t xml:space="preserve">[ART] §2.5.1</t>
  </si>
  <si>
    <t xml:space="preserve">Barrières</t>
  </si>
  <si>
    <t xml:space="preserve">Coûts d'investissement (électrolyseurs, captage CO2), faibles rendements vs électrification directe, infrastructures et réglementation RFNBO hétérogène.</t>
  </si>
  <si>
    <t xml:space="preserve">[ART] §6</t>
  </si>
  <si>
    <t xml:space="preserve">Pays leaders</t>
  </si>
  <si>
    <t xml:space="preserve">Allemagne, Norvège et France ont la plus forte production moyenne en Europe ; États-Unis, Chine, Arabie saoudite hors Europe. Norvège et Allemagne investissent le plus (CAPEX moyen).</t>
  </si>
  <si>
    <t xml:space="preserve">[ART] §5, Fig. 16–18</t>
  </si>
  <si>
    <t xml:space="preserve">Maturité</t>
  </si>
  <si>
    <t xml:space="preserve">TRL les plus élevés : Allemagne, Norvège, États-Unis (Fig. 19). Projets filtrés : TRL ≥ 5, capacités 10–200 MW.</t>
  </si>
  <si>
    <t xml:space="preserve">TRL 5–8</t>
  </si>
  <si>
    <t xml:space="preserve">[ART] §1.1, §5</t>
  </si>
  <si>
    <t xml:space="preserve">Projets</t>
  </si>
  <si>
    <t xml:space="preserve">35 projets recensés (Table 5) : e-kérosène dominant, puis e-méthanol, e-ammoniac ; capacités 0,1 kt/an à 800 kt/an.</t>
  </si>
  <si>
    <t xml:space="preserve">35 projets</t>
  </si>
  <si>
    <t xml:space="preserve">[ART] Table 5</t>
  </si>
  <si>
    <t xml:space="preserve">Chine</t>
  </si>
  <si>
    <t xml:space="preserve">Projet Shanxi : 10,7 Md¥ (~1,48 Md$) pour 1 GW éolien-H2-e-kérosène, 350 kt SAF/an (Mongolie intérieure).</t>
  </si>
  <si>
    <t xml:space="preserve">1,48 Md$ / 350 kt/an</t>
  </si>
  <si>
    <t xml:space="preserve">[ART] §2.4 (réf. [76])</t>
  </si>
  <si>
    <t xml:space="preserve">Lacunes ASTM</t>
  </si>
  <si>
    <t xml:space="preserve">Normes insuffisantes pour spécificités e-fuels ; critères de durabilité incohérents ; traçabilité chaîne d'approvisionnement insuffisante.</t>
  </si>
  <si>
    <t xml:space="preserve">Pour le Maroc</t>
  </si>
  <si>
    <t xml:space="preserve">Ressource PV/éolien et position logistique favorables (hypothèse Sherpa) ; l'article cite l'Afrique du Nord comme région potentiellement à coûts plus bas.</t>
  </si>
  <si>
    <t xml:space="preserve">voir Maroc_Contexte</t>
  </si>
  <si>
    <t xml:space="preserve">[ART] §3.5 + [HYP]</t>
  </si>
  <si>
    <t xml:space="preserve">Voies de production et procédés</t>
  </si>
  <si>
    <t xml:space="preserve">Conditions opératoires, catalyseurs et réacteurs (article §3.3, §4).</t>
  </si>
  <si>
    <t xml:space="preserve">Voie</t>
  </si>
  <si>
    <t xml:space="preserve">Étape</t>
  </si>
  <si>
    <t xml:space="preserve">Équation</t>
  </si>
  <si>
    <t xml:space="preserve">ΔH298 (kJ/mol)</t>
  </si>
  <si>
    <t xml:space="preserve">T (°C)</t>
  </si>
  <si>
    <t xml:space="preserve">P (bar)</t>
  </si>
  <si>
    <t xml:space="preserve">Catalyseurs</t>
  </si>
  <si>
    <t xml:space="preserve">Réacteur</t>
  </si>
  <si>
    <t xml:space="preserve">Remarques</t>
  </si>
  <si>
    <t xml:space="preserve">Électrolyse</t>
  </si>
  <si>
    <t xml:space="preserve">Production de H2</t>
  </si>
  <si>
    <t xml:space="preserve">H2O ⇆ 0,5 O2 + H2</t>
  </si>
  <si>
    <t xml:space="preserve">+285,8 (ΔH, éq. 1)</t>
  </si>
  <si>
    <t xml:space="preserve">AEL 60–90 ; PEM 50–80 ; SOEC 700–900</t>
  </si>
  <si>
    <t xml:space="preserve">AEL 10–30 ; PEM 20–50 ; SOEC 1–15</t>
  </si>
  <si>
    <t xml:space="preserve">AEL : KOH/NaOH ; PEM : Pt/Ir ; SOEC : céramiques</t>
  </si>
  <si>
    <t xml:space="preserve">Stacks AEL/PEM/SOEC</t>
  </si>
  <si>
    <t xml:space="preserve">H2 vert + O2</t>
  </si>
  <si>
    <t xml:space="preserve">PEM flexible et réactif ; SOEC permet la co-électrolyse CO2+vapeur → syngas.</t>
  </si>
  <si>
    <t xml:space="preserve">[ART] §3.3</t>
  </si>
  <si>
    <t xml:space="preserve">Fischer–Tropsch indirect</t>
  </si>
  <si>
    <t xml:space="preserve">1) RWGS</t>
  </si>
  <si>
    <t xml:space="preserve">CO2 + H2 ⇆ CO + H2O</t>
  </si>
  <si>
    <t xml:space="preserve">+41</t>
  </si>
  <si>
    <t xml:space="preserve">n.d.</t>
  </si>
  <si>
    <t xml:space="preserve">Ni, Fe ou Cu</t>
  </si>
  <si>
    <t xml:space="preserve">CO + H2O</t>
  </si>
  <si>
    <t xml:space="preserve">Étape préalable : CO2 → CO.</t>
  </si>
  <si>
    <t xml:space="preserve">[ART] §4.1 éq. 2</t>
  </si>
  <si>
    <t xml:space="preserve">2) Synthèse FT</t>
  </si>
  <si>
    <t xml:space="preserve">n CO + 2n H2 ⇆ (−CH2−)n + n H2O</t>
  </si>
  <si>
    <t xml:space="preserve">−166</t>
  </si>
  <si>
    <t xml:space="preserve">200–350</t>
  </si>
  <si>
    <t xml:space="preserve">20–30 (plus possible)</t>
  </si>
  <si>
    <t xml:space="preserve">Co (préféré, longues chaînes) ou Fe</t>
  </si>
  <si>
    <t xml:space="preserve">Slurry bubble column (optimal grande échelle) ; lit fixe ; lit fluidisé</t>
  </si>
  <si>
    <t xml:space="preserve">Hydrocarbures linéaires → hydrocraquage/reforming/hydrotraitement → kérosène, diesel, essence</t>
  </si>
  <si>
    <t xml:space="preserve">Très exothermique : contrôle de température critique.</t>
  </si>
  <si>
    <t xml:space="preserve">[ART] §4.1 éq. 3</t>
  </si>
  <si>
    <t xml:space="preserve">Fischer–Tropsch direct</t>
  </si>
  <si>
    <t xml:space="preserve">Une étape</t>
  </si>
  <si>
    <t xml:space="preserve">CO2 + H2 → hydrocarbures</t>
  </si>
  <si>
    <t xml:space="preserve">Fe complexes (RWGS + FT dans un réacteur)</t>
  </si>
  <si>
    <t xml:space="preserve">Hydrocarbures</t>
  </si>
  <si>
    <t xml:space="preserve">Supprime l'étape RWGS mais catalyseurs plus complexes.</t>
  </si>
  <si>
    <t xml:space="preserve">[ART] §4.1</t>
  </si>
  <si>
    <t xml:space="preserve">Méthanol</t>
  </si>
  <si>
    <t xml:space="preserve">Synthèse</t>
  </si>
  <si>
    <t xml:space="preserve">CO + 2 H2 ⇆ CH3OH</t>
  </si>
  <si>
    <t xml:space="preserve">−90,77</t>
  </si>
  <si>
    <t xml:space="preserve">250–300</t>
  </si>
  <si>
    <t xml:space="preserve">50–100</t>
  </si>
  <si>
    <t xml:space="preserve">CuO–ZnO–Al2O3 (CZA) ; CZZA (plus résistant à la vapeur)</t>
  </si>
  <si>
    <t xml:space="preserve">Multitubulaire lit fixe avec refroidissement inter-étages (référence industrielle)</t>
  </si>
  <si>
    <t xml:space="preserve">e-méthanol</t>
  </si>
  <si>
    <t xml:space="preserve">Éq. 4.</t>
  </si>
  <si>
    <t xml:space="preserve">[ART] §4.2</t>
  </si>
  <si>
    <t xml:space="preserve">RWGS (côté méthanol)</t>
  </si>
  <si>
    <t xml:space="preserve">+41,21</t>
  </si>
  <si>
    <t xml:space="preserve">CZA/CZZA</t>
  </si>
  <si>
    <t xml:space="preserve">Éq. 5.</t>
  </si>
  <si>
    <t xml:space="preserve">Hydrogénation CO2</t>
  </si>
  <si>
    <t xml:space="preserve">CO2 + 3 H2 ⇆ CH3OH + H2O</t>
  </si>
  <si>
    <t xml:space="preserve">−49,16</t>
  </si>
  <si>
    <t xml:space="preserve">Multitubulaire lit fixe</t>
  </si>
  <si>
    <t xml:space="preserve">Éq. 6 (réaction globale utile).</t>
  </si>
  <si>
    <t xml:space="preserve">Méthanol → liquides (MtL) indirect</t>
  </si>
  <si>
    <t xml:space="preserve">2 étapes</t>
  </si>
  <si>
    <t xml:space="preserve">Méthanol → hydrocarbures (catalyseur acide)</t>
  </si>
  <si>
    <t xml:space="preserve">&gt;300 (conversion oléfines)</t>
  </si>
  <si>
    <t xml:space="preserve">Métallique puis zéolithe ZSM-5</t>
  </si>
  <si>
    <t xml:space="preserve">Essence / kérosène / diesel</t>
  </si>
  <si>
    <t xml:space="preserve">Étapes additionnelles : oléfines, oligomérisation.</t>
  </si>
  <si>
    <t xml:space="preserve">Méthanol → liquides (MtL) direct</t>
  </si>
  <si>
    <t xml:space="preserve">1 étape</t>
  </si>
  <si>
    <t xml:space="preserve">SAPO-34 + métaux nobles/transition</t>
  </si>
  <si>
    <t xml:space="preserve">Stade précoce ; catalyseurs Cu incompatibles avec zéolithes &gt;300 °C (sauf DME).</t>
  </si>
  <si>
    <t xml:space="preserve">DME</t>
  </si>
  <si>
    <t xml:space="preserve">Synthèse directe</t>
  </si>
  <si>
    <t xml:space="preserve">2 CO2 + 6 H2 → CH3OCH3 + 3 H2O (stœchiométrie)</t>
  </si>
  <si>
    <t xml:space="preserve">250–350</t>
  </si>
  <si>
    <t xml:space="preserve">30–70</t>
  </si>
  <si>
    <t xml:space="preserve">Bifonctionnels : Cu (hydrogénation) + alumine/zéolithe (déshydratation)</t>
  </si>
  <si>
    <t xml:space="preserve">Lit fixe, fluidisé, slurry (fluidisé/slurry préférés grande échelle)</t>
  </si>
  <si>
    <t xml:space="preserve">e-DME</t>
  </si>
  <si>
    <t xml:space="preserve">Voie directe préférée à la déshydratation du méthanol (moins d'énergie, moins de complexité).</t>
  </si>
  <si>
    <t xml:space="preserve">[ART] §4.4.4</t>
  </si>
  <si>
    <t xml:space="preserve">MTG (méthanol → essence)</t>
  </si>
  <si>
    <t xml:space="preserve">Conversion catalytique</t>
  </si>
  <si>
    <t xml:space="preserve">Méthanol → alcanes + cycloalcanes</t>
  </si>
  <si>
    <t xml:space="preserve">300–400</t>
  </si>
  <si>
    <t xml:space="preserve">10–30</t>
  </si>
  <si>
    <t xml:space="preserve">Zéolithe ZSM-5 (sélectivité, résistance au coke)</t>
  </si>
  <si>
    <t xml:space="preserve">Lit fixe ; lit fluidisé grande échelle</t>
  </si>
  <si>
    <t xml:space="preserve">e-essence</t>
  </si>
  <si>
    <t xml:space="preserve">Désactivation par coke/gaz légers.</t>
  </si>
  <si>
    <t xml:space="preserve">Haber–Bosch</t>
  </si>
  <si>
    <t xml:space="preserve">Synthèse NH3</t>
  </si>
  <si>
    <t xml:space="preserve">N2 + 3 H2 ⇆ 2 NH3</t>
  </si>
  <si>
    <t xml:space="preserve">−92,28</t>
  </si>
  <si>
    <t xml:space="preserve">400–500</t>
  </si>
  <si>
    <t xml:space="preserve">150–300</t>
  </si>
  <si>
    <t xml:space="preserve">Fe promu K/Al (standard) ; Ru (plus efficace, plus coûteux)</t>
  </si>
  <si>
    <t xml:space="preserve">Lit fixe adiabatique multi-lits avec refroidissement inter-étages</t>
  </si>
  <si>
    <t xml:space="preserve">e-ammoniac</t>
  </si>
  <si>
    <t xml:space="preserve">N2 par distillation cryogénique (ASU) ; O2 résiduel désactive Fe : PSA/membranes plutôt pour voies électrochimiques bas TRL.</t>
  </si>
  <si>
    <t xml:space="preserve">[ART] §4.3, §3.1</t>
  </si>
  <si>
    <t xml:space="preserve">Fiches produits — e-fuels liquides</t>
  </si>
  <si>
    <t xml:space="preserve">Coûts en €/t (fourchettes de l'article). Min/max numériques utilisés pour la comparaison avec le Calculateur.</t>
  </si>
  <si>
    <t xml:space="preserve">Produit</t>
  </si>
  <si>
    <t xml:space="preserve">Usage cible</t>
  </si>
  <si>
    <t xml:space="preserve">Compatibilité</t>
  </si>
  <si>
    <t xml:space="preserve">Coût (texte)</t>
  </si>
  <si>
    <t xml:space="preserve">Coût min (€/t)</t>
  </si>
  <si>
    <t xml:space="preserve">Coût max (€/t)</t>
  </si>
  <si>
    <t xml:space="preserve">CAPEX proche terme</t>
  </si>
  <si>
    <t xml:space="preserve">CAPEX long terme</t>
  </si>
  <si>
    <t xml:space="preserve">Rendement procédé</t>
  </si>
  <si>
    <t xml:space="preserve">Notes</t>
  </si>
  <si>
    <t xml:space="preserve">e-kérosène</t>
  </si>
  <si>
    <t xml:space="preserve">FT (RWGS+FT) ou méthanol+MtL</t>
  </si>
  <si>
    <t xml:space="preserve">Aviation long-courrier</t>
  </si>
  <si>
    <t xml:space="preserve">Substitut direct du Jet A-1 ; infrastructure existante</t>
  </si>
  <si>
    <t xml:space="preserve">Actuel 3 062–4 215 €/t ; 2050 : 1 206–1 841 €/t</t>
  </si>
  <si>
    <t xml:space="preserve">n.d. dans l'article</t>
  </si>
  <si>
    <t xml:space="preserve">59–78 %</t>
  </si>
  <si>
    <t xml:space="preserve">Voie FT plus flexible ; voie méthanol : désactivation catalyseur. Coût de 460–1 435 €/bbl (indirect) et 752–2 364 €/bbl (direct) selon scénarios (réf. [230]).</t>
  </si>
  <si>
    <t xml:space="preserve">[ART] §4.4.1</t>
  </si>
  <si>
    <t xml:space="preserve">e-diesel</t>
  </si>
  <si>
    <t xml:space="preserve">FT ou méthanol</t>
  </si>
  <si>
    <t xml:space="preserve">Transport routier/lourd</t>
  </si>
  <si>
    <t xml:space="preserve">Drop-in ; moteurs et chaîne logistique existants</t>
  </si>
  <si>
    <t xml:space="preserve">3 400–3 520 €/t (prix de vente minimal)</t>
  </si>
  <si>
    <t xml:space="preserve">Réductions de coût dépendent de l'électrolyse, du captage CO2 et du réacteur.</t>
  </si>
  <si>
    <t xml:space="preserve">Hydrogénation du CO2 (CZA)</t>
  </si>
  <si>
    <t xml:space="preserve">Maritime, chimie, piles à combustible, moteurs modifiés</t>
  </si>
  <si>
    <t xml:space="preserve">Moteurs/infra à adapter ; carburant ou intermédiaire</t>
  </si>
  <si>
    <t xml:space="preserve">Prix moyen 3 208 €/t ; coût total 3 409 €/t</t>
  </si>
  <si>
    <t xml:space="preserve">300–1 200 €/kW_fuel</t>
  </si>
  <si>
    <t xml:space="preserve">200–650 €/kW_fuel</t>
  </si>
  <si>
    <t xml:space="preserve">69–89 %</t>
  </si>
  <si>
    <t xml:space="preserve">Voie la plus mature (George Olah, TRL 8).</t>
  </si>
  <si>
    <t xml:space="preserve">Synthèse directe CO2+H2 ou déshydratation méthanol</t>
  </si>
  <si>
    <t xml:space="preserve">Remplacement du diesel (cétane élevé)</t>
  </si>
  <si>
    <t xml:space="preserve">Moteurs diesel avec modifications minimes ; moins de particules/NOx/SOx</t>
  </si>
  <si>
    <t xml:space="preserve">Un seul projet DME dans Table 5 (H2V Chile, TRL 5–6).</t>
  </si>
  <si>
    <t xml:space="preserve">Méthanol → essence (MTG, ZSM-5)</t>
  </si>
  <si>
    <t xml:space="preserve">Véhicules essence existants</t>
  </si>
  <si>
    <t xml:space="preserve">Drop-in ; stations/stockage existants</t>
  </si>
  <si>
    <t xml:space="preserve">3,24 USD/L (prix de vente minimal)</t>
  </si>
  <si>
    <t xml:space="preserve">600 €/kW_fuel</t>
  </si>
  <si>
    <t xml:space="preserve">250–370 €/kW_fuel</t>
  </si>
  <si>
    <t xml:space="preserve">~86 %</t>
  </si>
  <si>
    <t xml:space="preserve">Projets : Haru Oni (Chili), Texas HIF (630 kt/an).</t>
  </si>
  <si>
    <t xml:space="preserve">Haber–Bosch (H2 vert + N2 ASU)</t>
  </si>
  <si>
    <t xml:space="preserve">Engrais, maritime, stockage H2, production d'électricité</t>
  </si>
  <si>
    <t xml:space="preserve">Besoin de nouvelles règles de sécurité/manutention ; pas de CO2</t>
  </si>
  <si>
    <t xml:space="preserve">n.d. (CAPEX uniquement)</t>
  </si>
  <si>
    <t xml:space="preserve">1 300–2 200 €/kW_fuel</t>
  </si>
  <si>
    <t xml:space="preserve">580–1 100 €/kW_fuel</t>
  </si>
  <si>
    <t xml:space="preserve">61–79 %</t>
  </si>
  <si>
    <t xml:space="preserve">Projets de grande échelle : MadoquaPower2X (500 kt/an).</t>
  </si>
  <si>
    <t xml:space="preserve">Conversion indicative e-essence : 3,24 USD/L → €/t [CALC]</t>
  </si>
  <si>
    <t xml:space="preserve">Prix (USD/L)</t>
  </si>
  <si>
    <t xml:space="preserve">Densité essence (kg/L) [HYP]</t>
  </si>
  <si>
    <t xml:space="preserve">Taux €/USD [HYP]</t>
  </si>
  <si>
    <t xml:space="preserve">Coût (€/t)</t>
  </si>
  <si>
    <t xml:space="preserve">Les coûts de l'e-DME et de l'e-ammoniac ne sont pas chiffrés en €/t dans l'article (CAPEX uniquement).</t>
  </si>
  <si>
    <t xml:space="preserve">Électrolyseurs — Table 4 de l'article</t>
  </si>
  <si>
    <t xml:space="preserve">Sources : [ART] Table 4 (réfs [184]–[188]).</t>
  </si>
  <si>
    <t xml:space="preserve">Paramètre</t>
  </si>
  <si>
    <t xml:space="preserve">AEL</t>
  </si>
  <si>
    <t xml:space="preserve">PEM</t>
  </si>
  <si>
    <t xml:space="preserve">SOEC</t>
  </si>
  <si>
    <t xml:space="preserve">Catégorie</t>
  </si>
  <si>
    <t xml:space="preserve">Température cellule (°C)</t>
  </si>
  <si>
    <t xml:space="preserve">60–90</t>
  </si>
  <si>
    <t xml:space="preserve">50–80</t>
  </si>
  <si>
    <t xml:space="preserve">700–900</t>
  </si>
  <si>
    <t xml:space="preserve">Paramètres opératoires</t>
  </si>
  <si>
    <t xml:space="preserve">Pression typique (bar)</t>
  </si>
  <si>
    <t xml:space="preserve">20–50</t>
  </si>
  <si>
    <t xml:space="preserve">1–15</t>
  </si>
  <si>
    <t xml:space="preserve">Densité de courant (A/cm²)</t>
  </si>
  <si>
    <t xml:space="preserve">0,25–0,45</t>
  </si>
  <si>
    <t xml:space="preserve">1,0–2,0</t>
  </si>
  <si>
    <t xml:space="preserve">0,3–1,0</t>
  </si>
  <si>
    <t xml:space="preserve">Charge nominale (%)</t>
  </si>
  <si>
    <t xml:space="preserve">20–100</t>
  </si>
  <si>
    <t xml:space="preserve">0–100</t>
  </si>
  <si>
    <t xml:space="preserve">−100/+100</t>
  </si>
  <si>
    <t xml:space="preserve">Flexibilité</t>
  </si>
  <si>
    <t xml:space="preserve">Démarrage à froid</t>
  </si>
  <si>
    <t xml:space="preserve">12 h</t>
  </si>
  <si>
    <t xml:space="preserve">5–10 min</t>
  </si>
  <si>
    <t xml:space="preserve">−</t>
  </si>
  <si>
    <t xml:space="preserve">Démarrage à chaud</t>
  </si>
  <si>
    <t xml:space="preserve">1–5 min</t>
  </si>
  <si>
    <t xml:space="preserve">&lt; 10 s</t>
  </si>
  <si>
    <t xml:space="preserve">15 min</t>
  </si>
  <si>
    <t xml:space="preserve">TRL</t>
  </si>
  <si>
    <t xml:space="preserve">8–9</t>
  </si>
  <si>
    <t xml:space="preserve">6–7</t>
  </si>
  <si>
    <t xml:space="preserve">Maturité (* TRL inférieur = PEM/AEL avec médiateur redox)</t>
  </si>
  <si>
    <t xml:space="preserve">Rendement stack nominal (PCI)</t>
  </si>
  <si>
    <t xml:space="preserve">63–71 %</t>
  </si>
  <si>
    <t xml:space="preserve">60–68 %</t>
  </si>
  <si>
    <t xml:space="preserve">100 %</t>
  </si>
  <si>
    <t xml:space="preserve">Efficacité (SOEC 100 % = valeur du tableau, à interpréter)</t>
  </si>
  <si>
    <t xml:space="preserve">Consommation stack (kWh/Nm³)</t>
  </si>
  <si>
    <t xml:space="preserve">4,2–4,8</t>
  </si>
  <si>
    <t xml:space="preserve">4,4–5,0</t>
  </si>
  <si>
    <t xml:space="preserve">3</t>
  </si>
  <si>
    <t xml:space="preserve">Efficacité</t>
  </si>
  <si>
    <t xml:space="preserve">Rendement système nominal (PCI)</t>
  </si>
  <si>
    <t xml:space="preserve">51–60 %</t>
  </si>
  <si>
    <t xml:space="preserve">46–60 %</t>
  </si>
  <si>
    <t xml:space="preserve">76–81 %</t>
  </si>
  <si>
    <t xml:space="preserve">Consommation système (kWh/Nm³)</t>
  </si>
  <si>
    <t xml:space="preserve">5,0–5,9</t>
  </si>
  <si>
    <t xml:space="preserve">5,0–5,6</t>
  </si>
  <si>
    <t xml:space="preserve">3,7–3,9</t>
  </si>
  <si>
    <t xml:space="preserve">Puissance max par stack (MW)</t>
  </si>
  <si>
    <t xml:space="preserve">6</t>
  </si>
  <si>
    <t xml:space="preserve">2</t>
  </si>
  <si>
    <t xml:space="preserve">&lt; 0,01</t>
  </si>
  <si>
    <t xml:space="preserve">Capacité</t>
  </si>
  <si>
    <t xml:space="preserve">Production H2 par stack (Nm³/h)</t>
  </si>
  <si>
    <t xml:space="preserve">1 400</t>
  </si>
  <si>
    <t xml:space="preserve">400</t>
  </si>
  <si>
    <t xml:space="preserve">&lt; 10</t>
  </si>
  <si>
    <t xml:space="preserve">Durée de vie (kh)</t>
  </si>
  <si>
    <t xml:space="preserve">55–120</t>
  </si>
  <si>
    <t xml:space="preserve">60–100</t>
  </si>
  <si>
    <t xml:space="preserve">8–20</t>
  </si>
  <si>
    <t xml:space="preserve">Durabilité</t>
  </si>
  <si>
    <t xml:space="preserve">Dégradation rendement (%/an)</t>
  </si>
  <si>
    <t xml:space="preserve">0,25–1,5</t>
  </si>
  <si>
    <t xml:space="preserve">0,5–2,5</t>
  </si>
  <si>
    <t xml:space="preserve">3–50</t>
  </si>
  <si>
    <t xml:space="preserve">Coût d'investissement (€/kW)</t>
  </si>
  <si>
    <t xml:space="preserve">800–1 500</t>
  </si>
  <si>
    <t xml:space="preserve">1 400–2 100</t>
  </si>
  <si>
    <t xml:space="preserve">&gt; 2 000</t>
  </si>
  <si>
    <t xml:space="preserve">Économie</t>
  </si>
  <si>
    <t xml:space="preserve">Coût opératoire (% du coût/an)</t>
  </si>
  <si>
    <t xml:space="preserve">2–3</t>
  </si>
  <si>
    <t xml:space="preserve">3–5</t>
  </si>
  <si>
    <t xml:space="preserve">Paramètres numériques utilisés par les formules (min / max)</t>
  </si>
  <si>
    <t xml:space="preserve">Technologie</t>
  </si>
  <si>
    <t xml:space="preserve">CAPEX min (€/kW)</t>
  </si>
  <si>
    <t xml:space="preserve">CAPEX max (€/kW)</t>
  </si>
  <si>
    <t xml:space="preserve">kWh/Nm³ min</t>
  </si>
  <si>
    <t xml:space="preserve">kWh/Nm³ max</t>
  </si>
  <si>
    <t xml:space="preserve">OPEX min (%/an)</t>
  </si>
  <si>
    <t xml:space="preserve">OPEX max (%/an)</t>
  </si>
  <si>
    <t xml:space="preserve">Vie min (kh)</t>
  </si>
  <si>
    <t xml:space="preserve">Vie max (kh)</t>
  </si>
  <si>
    <t xml:space="preserve">Note</t>
  </si>
  <si>
    <t xml:space="preserve">[ART] Table 4</t>
  </si>
  <si>
    <t xml:space="preserve">Capex max 2 500 et opex 3–5 % = [HYP] (article : « &gt; 2 000 » et « − »)</t>
  </si>
  <si>
    <t xml:space="preserve">Jaune = [HYP] (SOEC : l'article donne « &gt; 2 000 €/kW » et « − » pour l'OPEX). Les valeurs SOEC excluent le coût de la vapeur/chaleur.</t>
  </si>
  <si>
    <t xml:space="preserve">Captage du CO2 — coûts, maturité et technologies</t>
  </si>
  <si>
    <t xml:space="preserve">[ART] §3.2, Tables 2 et 3.</t>
  </si>
  <si>
    <t xml:space="preserve">Méthode</t>
  </si>
  <si>
    <t xml:space="preserve">Coût min ($/tCO2)</t>
  </si>
  <si>
    <t xml:space="preserve">Coût max ($/tCO2)</t>
  </si>
  <si>
    <t xml:space="preserve">Type de source</t>
  </si>
  <si>
    <t xml:space="preserve">Absorption chimique (amines)</t>
  </si>
  <si>
    <t xml:space="preserve">Plus mature ; coût énergétique de régénération élevé, dégradation du solvant</t>
  </si>
  <si>
    <t xml:space="preserve">Point source</t>
  </si>
  <si>
    <t xml:space="preserve">Adsorption physique (PSA/TSA…)</t>
  </si>
  <si>
    <t xml:space="preserve">Efficace pour flux concentrés ; baisse d'efficacité si CO2 dilué ou T élevée</t>
  </si>
  <si>
    <t xml:space="preserve">Séparation membranaire</t>
  </si>
  <si>
    <t xml:space="preserve">Compact, modulaire ; membranes polymères sensibles aux conditions extrêmes</t>
  </si>
  <si>
    <t xml:space="preserve">Captage cryogénique</t>
  </si>
  <si>
    <t xml:space="preserve">Liquéfaction CO2 à −56,6 °C / 5,18 bar ; efficace si CO2 concentré mais énergivore</t>
  </si>
  <si>
    <t xml:space="preserve">Direct Air Capture (DAC)</t>
  </si>
  <si>
    <t xml:space="preserve">CO2 à ~400 ppm ; très énergivore (≈80 % thermique) ; permet émissions négatives</t>
  </si>
  <si>
    <t xml:space="preserve">DAC</t>
  </si>
  <si>
    <t xml:space="preserve">Source : [ART] Table 2 (réfs [163]–[167]) et Table 3 (réfs [164],[168]). Le coût DAC ne descend généralement pas sous 235 $/t ; 100–150 $/t seulement avec fortes incitations.</t>
  </si>
  <si>
    <t xml:space="preserve">Technologies de captage (sources ponctuelles et DAC)</t>
  </si>
  <si>
    <t xml:space="preserve">Principe</t>
  </si>
  <si>
    <t xml:space="preserve">Type</t>
  </si>
  <si>
    <t xml:space="preserve">Points d'attention</t>
  </si>
  <si>
    <t xml:space="preserve">Pré-combustion</t>
  </si>
  <si>
    <t xml:space="preserve">Syngas + water-gas shift → CO2 haute pression (IGCC)</t>
  </si>
  <si>
    <t xml:space="preserve">Source ponctuelle</t>
  </si>
  <si>
    <t xml:space="preserve">CO2 concentré, séparation plus efficace</t>
  </si>
  <si>
    <t xml:space="preserve">Post-combustion</t>
  </si>
  <si>
    <t xml:space="preserve">Capture dans fumées (cimenterie, acier, électricité), CO2 3–14 %</t>
  </si>
  <si>
    <t xml:space="preserve">Adapté au rétrofit ; impuretés SOx/NOx</t>
  </si>
  <si>
    <t xml:space="preserve">Oxy-combustion</t>
  </si>
  <si>
    <t xml:space="preserve">Combustion en O2 pur → CO2 85–95 %</t>
  </si>
  <si>
    <t xml:space="preserve">Production d'O2 énergivore (synergie possible avec l'O2 de l'électrolyse)</t>
  </si>
  <si>
    <t xml:space="preserve">Chemical looping</t>
  </si>
  <si>
    <t xml:space="preserve">Oxydes métalliques porteurs d'O2 → CO2 quasi pur</t>
  </si>
  <si>
    <t xml:space="preserve">Complexité/échelle</t>
  </si>
  <si>
    <t xml:space="preserve">Calcium looping</t>
  </si>
  <si>
    <t xml:space="preserve">CaO comme sorbant (cimenteries, centrales)</t>
  </si>
  <si>
    <t xml:space="preserve">Désactivation de CaO sur cycles</t>
  </si>
  <si>
    <t xml:space="preserve">DAC solvant liquide (KOH)</t>
  </si>
  <si>
    <t xml:space="preserve">KOH → K2CO3 → CaCO3 → calcination à ~900 °C → CO2 pur</t>
  </si>
  <si>
    <t xml:space="preserve">Chaleur haute T (gaz naturel + O2 souvent) ; 5,25–8 GJ/tCO2 thermique + 1,2–1,8 GJ/tCO2 électrique (§3.2.2) ou 6–8 GJ chaleur + 0,4–0,6 MWh élec (§3.5)</t>
  </si>
  <si>
    <t xml:space="preserve">DAC sorbant solide (MOF, zéolithe, charbon actif, silice)</t>
  </si>
  <si>
    <t xml:space="preserve">Cycle adsorption/désorption (TVSA)</t>
  </si>
  <si>
    <t xml:space="preserve">6 GJ/tCO2 thermique + 1,5 GJ/tCO2 électrique (§3.2.2) ; 1,5–2,5 MWh chaleur (80–120 °C) + 0,5–1 MWh élec (§3.5)</t>
  </si>
  <si>
    <t xml:space="preserve">DAC émergents</t>
  </si>
  <si>
    <t xml:space="preserve">Électrochimique, TPSA, systèmes hybrides</t>
  </si>
  <si>
    <t xml:space="preserve">TRL bas ; potentiel d'efficacité si électricité renouvelable</t>
  </si>
  <si>
    <t xml:space="preserve">Énergie du DAC</t>
  </si>
  <si>
    <t xml:space="preserve">Besoin énergétique</t>
  </si>
  <si>
    <t xml:space="preserve">Sorbant solide (Climeworks)</t>
  </si>
  <si>
    <t xml:space="preserve">Chaleur basse T 80–120 °C : 1,5–2,5 MWh/tCO2 ; électricité 0,5–1 MWh/tCO2</t>
  </si>
  <si>
    <t xml:space="preserve">[ART] §3.5 (réf. [207])</t>
  </si>
  <si>
    <t xml:space="preserve">Solvant liquide (Carbon Engineering)</t>
  </si>
  <si>
    <t xml:space="preserve">Chaleur ~900 °C : 6–8 GJ/tCO2 ; électricité 0,4–0,6 MWh/tCO2</t>
  </si>
  <si>
    <t xml:space="preserve">[ART] §3.5 (réf. [200])</t>
  </si>
  <si>
    <t xml:space="preserve">Répartition énergie DAC</t>
  </si>
  <si>
    <t xml:space="preserve">≈80 % thermique / 20 % mécanique (ventilateurs, compresseurs, pompes)</t>
  </si>
  <si>
    <t xml:space="preserve">[ART] §3.2.2</t>
  </si>
  <si>
    <t xml:space="preserve">Efficacité de retrait du CO2 (ACV)</t>
  </si>
  <si>
    <t xml:space="preserve">De &lt; 10 % à &gt; 95 % selon l'intensité carbone de l'énergie et la configuration</t>
  </si>
  <si>
    <t xml:space="preserve">Azote, hydrogène, eau et électricité</t>
  </si>
  <si>
    <t xml:space="preserve">[ART] §3.1, §3.3–3.5.</t>
  </si>
  <si>
    <t xml:space="preserve">Méthode (azote)</t>
  </si>
  <si>
    <t xml:space="preserve">Pureté</t>
  </si>
  <si>
    <t xml:space="preserve">Application</t>
  </si>
  <si>
    <t xml:space="preserve">Distillation cryogénique (ASU)</t>
  </si>
  <si>
    <t xml:space="preserve">Air comprimé, pré-refroidi (~10 °C), purifié puis liquéfié &lt; −195,8 °C, distillation haute pression</t>
  </si>
  <si>
    <t xml:space="preserve">Haute pureté ; référence grande échelle</t>
  </si>
  <si>
    <t xml:space="preserve">Mature, économies d'échelle ; référence pour e-ammoniac</t>
  </si>
  <si>
    <t xml:space="preserve">Fibres creuses : O2 et H2O diffusent, N2 passe</t>
  </si>
  <si>
    <t xml:space="preserve">95–99,5 %</t>
  </si>
  <si>
    <t xml:space="preserve">Petite/moyenne échelle ; compact</t>
  </si>
  <si>
    <t xml:space="preserve">PSA (tamis moléculaires carbone)</t>
  </si>
  <si>
    <t xml:space="preserve">5–10 bar, deux colonnes alternées</t>
  </si>
  <si>
    <t xml:space="preserve">jusqu'à 99,999 %</t>
  </si>
  <si>
    <t xml:space="preserve">Jusqu'à quelques milliers de Nm³/h ; grande échelle peu courante</t>
  </si>
  <si>
    <t xml:space="preserve">Hydrogène, eau, électricité — repères</t>
  </si>
  <si>
    <t xml:space="preserve">Repère</t>
  </si>
  <si>
    <t xml:space="preserve">Valeur</t>
  </si>
  <si>
    <t xml:space="preserve">Densité énergétique massique</t>
  </si>
  <si>
    <t xml:space="preserve">120 MJ/kg</t>
  </si>
  <si>
    <t xml:space="preserve">Densité énergétique volumique</t>
  </si>
  <si>
    <t xml:space="preserve">10,8 MJ/Nm³ (stockage/transport difficiles)</t>
  </si>
  <si>
    <t xml:space="preserve">Électricité pour H2 (électrolyse)</t>
  </si>
  <si>
    <t xml:space="preserve">45–73 kWh/kg H2 selon électrolyseur</t>
  </si>
  <si>
    <t xml:space="preserve">[ART] §3.5 (réf. [205])</t>
  </si>
  <si>
    <t xml:space="preserve">Électricité azote (cryogénique)</t>
  </si>
  <si>
    <t xml:space="preserve">0,11 kWh/kg N2</t>
  </si>
  <si>
    <t xml:space="preserve">[ART] §3.5 (réf. [206])</t>
  </si>
  <si>
    <t xml:space="preserve">Électricité synthèse FT</t>
  </si>
  <si>
    <t xml:space="preserve">0,50 kWh/kg de produit</t>
  </si>
  <si>
    <t xml:space="preserve">[ART] §3.5 (réf. [107])</t>
  </si>
  <si>
    <t xml:space="preserve">Eau électrolyse (stœchiométrique)</t>
  </si>
  <si>
    <t xml:space="preserve">8,92 L/kg H2 ; consommation réelle ≈ +25 %</t>
  </si>
  <si>
    <t xml:space="preserve">Eau SMR vs électrolyse</t>
  </si>
  <si>
    <t xml:space="preserve">SMR ≈ 11,7 kg/kg H2 ; électrolyse jusqu'à 30 kg/kg (gate-to-grave)</t>
  </si>
  <si>
    <t xml:space="preserve">Eau e-kérosène (DAC-FT)</t>
  </si>
  <si>
    <t xml:space="preserve">−0,8 à 8 kg/kg (cradle-to-grave) vs Jet A-1 ≈ 0,53 kg/kg</t>
  </si>
  <si>
    <t xml:space="preserve">H2 nucléaire + électrolyse haute T</t>
  </si>
  <si>
    <t xml:space="preserve">Rendement jusqu'à 90 %, émissions cycle de vie 0,28 kgCO2/kg H2</t>
  </si>
  <si>
    <t xml:space="preserve">Hydrogène biomasse</t>
  </si>
  <si>
    <t xml:space="preserve">Gazéification, reformage biogaz/bioéthanol, fermentation : TRL bas, intégrables au concept « H2 vert » élargi</t>
  </si>
  <si>
    <t xml:space="preserve">Heures pleine charge ENR</t>
  </si>
  <si>
    <t xml:space="preserve">Beaucoup de régions n'atteignent pas 3 000–4 000 h/an</t>
  </si>
  <si>
    <t xml:space="preserve">CCS sur gaz (comparaison)</t>
  </si>
  <si>
    <t xml:space="preserve">22–62 kgCO2eq/MWh (comparable à éolien/solaire en ACV)</t>
  </si>
  <si>
    <t xml:space="preserve">[ART] §3.5 (réf. [212])</t>
  </si>
  <si>
    <t xml:space="preserve">35 projets e-fuels mondiaux (Table 5)</t>
  </si>
  <si>
    <t xml:space="preserve">Capacité en kt/an (« ~ » dans l'article). TRL min–max. Statistiques calculées plus bas.</t>
  </si>
  <si>
    <t xml:space="preserve">#</t>
  </si>
  <si>
    <t xml:space="preserve">Projet</t>
  </si>
  <si>
    <t xml:space="preserve">Pays</t>
  </si>
  <si>
    <t xml:space="preserve">E-fuel</t>
  </si>
  <si>
    <t xml:space="preserve">Source CO2 / N2</t>
  </si>
  <si>
    <t xml:space="preserve">Énergie renouvelable</t>
  </si>
  <si>
    <t xml:space="preserve">Capacité (kt/an)</t>
  </si>
  <si>
    <t xml:space="preserve">TRL min</t>
  </si>
  <si>
    <t xml:space="preserve">TRL max</t>
  </si>
  <si>
    <t xml:space="preserve">Financement</t>
  </si>
  <si>
    <t xml:space="preserve">Développeurs</t>
  </si>
  <si>
    <t xml:space="preserve">Réf.</t>
  </si>
  <si>
    <t xml:space="preserve">George Olah Plant</t>
  </si>
  <si>
    <t xml:space="preserve">Islande</t>
  </si>
  <si>
    <t xml:space="preserve">e-methanol</t>
  </si>
  <si>
    <t xml:space="preserve">Centrale électrique</t>
  </si>
  <si>
    <t xml:space="preserve">Géothermie</t>
  </si>
  <si>
    <t xml:space="preserve">Fonds privés</t>
  </si>
  <si>
    <t xml:space="preserve">Carbon Recycle International (CRI)</t>
  </si>
  <si>
    <t xml:space="preserve">[272]</t>
  </si>
  <si>
    <t xml:space="preserve">Sunfire PtL Plant</t>
  </si>
  <si>
    <t xml:space="preserve">Allemagne</t>
  </si>
  <si>
    <t xml:space="preserve">e-diesel, e-kerosene</t>
  </si>
  <si>
    <t xml:space="preserve">CO2 industriel et DAC</t>
  </si>
  <si>
    <t xml:space="preserve">Photovoltaïque</t>
  </si>
  <si>
    <t xml:space="preserve">Public + privé</t>
  </si>
  <si>
    <t xml:space="preserve">Sunfire GmbH</t>
  </si>
  <si>
    <t xml:space="preserve">[273]</t>
  </si>
  <si>
    <t xml:space="preserve">Nordic Blue Crude</t>
  </si>
  <si>
    <t xml:space="preserve">Norvège</t>
  </si>
  <si>
    <t xml:space="preserve">Sources carbone industrielles mixtes</t>
  </si>
  <si>
    <t xml:space="preserve">Hydroélectricité</t>
  </si>
  <si>
    <t xml:space="preserve">Privé + public</t>
  </si>
  <si>
    <t xml:space="preserve">Nordic Blue Crude, Sunfire, Siemens</t>
  </si>
  <si>
    <t xml:space="preserve">[274]</t>
  </si>
  <si>
    <t xml:space="preserve">MefCO2</t>
  </si>
  <si>
    <t xml:space="preserve">EU Horizon 2020</t>
  </si>
  <si>
    <t xml:space="preserve">MHPS Europe, Univ. Duisburg-Essen, CRI, RWE Power</t>
  </si>
  <si>
    <t xml:space="preserve">[275]</t>
  </si>
  <si>
    <t xml:space="preserve">FReSMe</t>
  </si>
  <si>
    <t xml:space="preserve">Suède</t>
  </si>
  <si>
    <t xml:space="preserve">Aciérie</t>
  </si>
  <si>
    <t xml:space="preserve">Réseau renouvelable</t>
  </si>
  <si>
    <t xml:space="preserve">Swerim, Tata Steel, CRI, SSAB, Johnson Matthey, Mitsubishi</t>
  </si>
  <si>
    <t xml:space="preserve">[276]</t>
  </si>
  <si>
    <t xml:space="preserve">H2V Projects</t>
  </si>
  <si>
    <t xml:space="preserve">Chili</t>
  </si>
  <si>
    <t xml:space="preserve">e-methanol, e-DME</t>
  </si>
  <si>
    <t xml:space="preserve">CO2 biogénique et industriel</t>
  </si>
  <si>
    <t xml:space="preserve">Éolien et PV</t>
  </si>
  <si>
    <t xml:space="preserve">[277]</t>
  </si>
  <si>
    <t xml:space="preserve">KEROSyN100</t>
  </si>
  <si>
    <t xml:space="preserve">e-kerosene</t>
  </si>
  <si>
    <t xml:space="preserve">Raffinerie</t>
  </si>
  <si>
    <t xml:space="preserve">Éolien</t>
  </si>
  <si>
    <t xml:space="preserve">Lufthansa Group, Raffinerie Heide, Univ. Bremen</t>
  </si>
  <si>
    <t xml:space="preserve">[278]</t>
  </si>
  <si>
    <t xml:space="preserve">HIF Asia Pacific E-Fuel Plant</t>
  </si>
  <si>
    <t xml:space="preserve">Australie</t>
  </si>
  <si>
    <t xml:space="preserve">CO2 biogénique</t>
  </si>
  <si>
    <t xml:space="preserve">HIF Global, Porsche, Redflow</t>
  </si>
  <si>
    <t xml:space="preserve">[279]</t>
  </si>
  <si>
    <t xml:space="preserve">Breogan Project</t>
  </si>
  <si>
    <t xml:space="preserve">Espagne</t>
  </si>
  <si>
    <t xml:space="preserve">e-kerosene, e-diesel</t>
  </si>
  <si>
    <t xml:space="preserve">Greenalia, P2X-Europe</t>
  </si>
  <si>
    <t xml:space="preserve">[280]</t>
  </si>
  <si>
    <t xml:space="preserve">SARAS</t>
  </si>
  <si>
    <t xml:space="preserve">Italie</t>
  </si>
  <si>
    <t xml:space="preserve">[281]</t>
  </si>
  <si>
    <t xml:space="preserve">SAF+ Consortium</t>
  </si>
  <si>
    <t xml:space="preserve">Canada</t>
  </si>
  <si>
    <t xml:space="preserve">Aéroports de Montréal, Airbus, Schneider, eFuel Alliance</t>
  </si>
  <si>
    <t xml:space="preserve">[282]</t>
  </si>
  <si>
    <t xml:space="preserve">Dimensional Energy</t>
  </si>
  <si>
    <t xml:space="preserve">USA</t>
  </si>
  <si>
    <t xml:space="preserve">Cimenterie</t>
  </si>
  <si>
    <t xml:space="preserve">Série A</t>
  </si>
  <si>
    <t xml:space="preserve">Dimensional Energy + investisseurs</t>
  </si>
  <si>
    <t xml:space="preserve">[283]</t>
  </si>
  <si>
    <t xml:space="preserve">Haru Oni Demonstration Plant</t>
  </si>
  <si>
    <t xml:space="preserve">e-gasoline, e-methanol</t>
  </si>
  <si>
    <t xml:space="preserve">HIF Global, Siemens Energy, Porsche, ExxonMobil, Johnson Matthey</t>
  </si>
  <si>
    <t xml:space="preserve">[284]</t>
  </si>
  <si>
    <t xml:space="preserve">Port of Açu E-Methanol Facility</t>
  </si>
  <si>
    <t xml:space="preserve">Brésil</t>
  </si>
  <si>
    <t xml:space="preserve">HIF Global, Port of Açu</t>
  </si>
  <si>
    <t xml:space="preserve">[285]</t>
  </si>
  <si>
    <t xml:space="preserve">Paysandú E-Fuels Facility</t>
  </si>
  <si>
    <t xml:space="preserve">Uruguay</t>
  </si>
  <si>
    <t xml:space="preserve">HIF Global, Johnson Matthey</t>
  </si>
  <si>
    <t xml:space="preserve">[286]</t>
  </si>
  <si>
    <t xml:space="preserve">Texas E-Fuels Facility</t>
  </si>
  <si>
    <t xml:space="preserve">USA (Texas)</t>
  </si>
  <si>
    <t xml:space="preserve">e-gasoline</t>
  </si>
  <si>
    <t xml:space="preserve">HIF Global</t>
  </si>
  <si>
    <t xml:space="preserve">[287]</t>
  </si>
  <si>
    <t xml:space="preserve">Arcadia eFuels</t>
  </si>
  <si>
    <t xml:space="preserve">Danemark</t>
  </si>
  <si>
    <t xml:space="preserve">Arcadia eFuels, Plug Power, Technip Energies, Sasol, Topsoe</t>
  </si>
  <si>
    <t xml:space="preserve">[288]</t>
  </si>
  <si>
    <t xml:space="preserve">Herøya SAF Plant</t>
  </si>
  <si>
    <t xml:space="preserve">Privé + EU Innovation Fund</t>
  </si>
  <si>
    <t xml:space="preserve">Nordic Electrofuel, P2X-Europe</t>
  </si>
  <si>
    <t xml:space="preserve">[289]</t>
  </si>
  <si>
    <t xml:space="preserve">E-Alto</t>
  </si>
  <si>
    <t xml:space="preserve">Royaume-Uni</t>
  </si>
  <si>
    <t xml:space="preserve">CO2 industriel et biogénique</t>
  </si>
  <si>
    <t xml:space="preserve">Fonds publics</t>
  </si>
  <si>
    <t xml:space="preserve">Velocys, Clariant Catalysts, Technip Energies, British Airways</t>
  </si>
  <si>
    <t xml:space="preserve">[290]</t>
  </si>
  <si>
    <t xml:space="preserve">Helguvík SAF Facility</t>
  </si>
  <si>
    <t xml:space="preserve">IðunnH2, Haffner Energy, Icelandair</t>
  </si>
  <si>
    <t xml:space="preserve">[291]</t>
  </si>
  <si>
    <t xml:space="preserve">Reuze</t>
  </si>
  <si>
    <t xml:space="preserve">France</t>
  </si>
  <si>
    <t xml:space="preserve">ENGIE, Infinium, ArcelorMittal</t>
  </si>
  <si>
    <t xml:space="preserve">[292]</t>
  </si>
  <si>
    <t xml:space="preserve">HyNovera (Hy2Gen)</t>
  </si>
  <si>
    <t xml:space="preserve">e-kerosene, e-diesel, e-methanol</t>
  </si>
  <si>
    <t xml:space="preserve">Hy2Gen, Technip Energies, Axens</t>
  </si>
  <si>
    <t xml:space="preserve">[293]</t>
  </si>
  <si>
    <t xml:space="preserve">Plant DAWN</t>
  </si>
  <si>
    <t xml:space="preserve">e-kerosene, e-diesel, e-gasoline</t>
  </si>
  <si>
    <t xml:space="preserve">Solaire (thermique concentré)</t>
  </si>
  <si>
    <t xml:space="preserve">Synhelion</t>
  </si>
  <si>
    <t xml:space="preserve">[294]</t>
  </si>
  <si>
    <t xml:space="preserve">Zenid</t>
  </si>
  <si>
    <t xml:space="preserve">Pays-Bas</t>
  </si>
  <si>
    <t xml:space="preserve">SkyNRG, Rotterdam Airport, Climeworks</t>
  </si>
  <si>
    <t xml:space="preserve">[295]</t>
  </si>
  <si>
    <t xml:space="preserve">Synkero</t>
  </si>
  <si>
    <t xml:space="preserve">Synkero, Port d'Amsterdam, Royal Schiphol Group, KLM</t>
  </si>
  <si>
    <t xml:space="preserve">[296]</t>
  </si>
  <si>
    <t xml:space="preserve">Hykero</t>
  </si>
  <si>
    <t xml:space="preserve">XFuels GmbH, EDL Anlagenbau</t>
  </si>
  <si>
    <t xml:space="preserve">[297]</t>
  </si>
  <si>
    <t xml:space="preserve">Green Areal Lausitz (GRAL)</t>
  </si>
  <si>
    <t xml:space="preserve">Hy2Gen, Euromovement Industriepark</t>
  </si>
  <si>
    <t xml:space="preserve">[298]</t>
  </si>
  <si>
    <t xml:space="preserve">INERATEC Frankfurt Plant</t>
  </si>
  <si>
    <t xml:space="preserve">INERATEC, Safran Corporate Ventures, ENGIE New Ventures</t>
  </si>
  <si>
    <t xml:space="preserve">[299]</t>
  </si>
  <si>
    <t xml:space="preserve">Concrete Chemicals</t>
  </si>
  <si>
    <t xml:space="preserve">CEMEX, Sasol ecoFT, ENERTRAG</t>
  </si>
  <si>
    <t xml:space="preserve">[300]</t>
  </si>
  <si>
    <t xml:space="preserve">Westküste 100</t>
  </si>
  <si>
    <t xml:space="preserve">e-methanol, e-kerosene</t>
  </si>
  <si>
    <t xml:space="preserve">EDF Deutschland, Holcim, Ørsted, Raffinerie Heide, Stadtwerke Heide</t>
  </si>
  <si>
    <t xml:space="preserve">[301]</t>
  </si>
  <si>
    <t xml:space="preserve">Green Fuels Hamburg</t>
  </si>
  <si>
    <t xml:space="preserve">Uniper, Siemens Energy, Airbus, Sasol ecoFT</t>
  </si>
  <si>
    <t xml:space="preserve">[302]</t>
  </si>
  <si>
    <t xml:space="preserve">Stuttgart Airport Consortium</t>
  </si>
  <si>
    <t xml:space="preserve">Fonds publics (Bade-Wurtemberg)</t>
  </si>
  <si>
    <t xml:space="preserve">Stuttgart Airport, Schwenk Zement, SkyNRG</t>
  </si>
  <si>
    <t xml:space="preserve">[303]</t>
  </si>
  <si>
    <t xml:space="preserve">Dynamic green ammonia plant (Ramme)</t>
  </si>
  <si>
    <t xml:space="preserve">e-ammonia</t>
  </si>
  <si>
    <t xml:space="preserve">N2 par ASU cryogénique</t>
  </si>
  <si>
    <t xml:space="preserve">Fonds publics (EUDP)</t>
  </si>
  <si>
    <t xml:space="preserve">Topsoe, Skovgaard Energy, Vestas</t>
  </si>
  <si>
    <t xml:space="preserve">[304]</t>
  </si>
  <si>
    <t xml:space="preserve">MadoquaPower2X</t>
  </si>
  <si>
    <t xml:space="preserve">Portugal</t>
  </si>
  <si>
    <t xml:space="preserve">[305]</t>
  </si>
  <si>
    <t xml:space="preserve">Yara Herøya (H2 renouvelable)</t>
  </si>
  <si>
    <t xml:space="preserve">[306]</t>
  </si>
  <si>
    <t xml:space="preserve">Statistiques [CALC]</t>
  </si>
  <si>
    <t xml:space="preserve">Nombre de projets</t>
  </si>
  <si>
    <t xml:space="preserve">Capacité totale annoncée (kt/an)</t>
  </si>
  <si>
    <t xml:space="preserve">Capacité médiane (kt/an)</t>
  </si>
  <si>
    <t xml:space="preserve">Projets avec e-kérosène</t>
  </si>
  <si>
    <t xml:space="preserve">Projets avec e-méthanol</t>
  </si>
  <si>
    <t xml:space="preserve">Projets avec e-ammoniac</t>
  </si>
  <si>
    <t xml:space="preserve">Projets avec e-diesel</t>
  </si>
  <si>
    <t xml:space="preserve">Projets avec e-essence</t>
  </si>
  <si>
    <t xml:space="preserve">Projets avec e-DME</t>
  </si>
  <si>
    <t xml:space="preserve">Projets avec CO2 biogénique</t>
  </si>
  <si>
    <t xml:space="preserve">Projets avec DAC</t>
  </si>
  <si>
    <t xml:space="preserve">Projets avec éolien</t>
  </si>
  <si>
    <t xml:space="preserve">Projets avec photovoltaïque</t>
  </si>
  <si>
    <t xml:space="preserve">Projets en Allemagne</t>
  </si>
  <si>
    <t xml:space="preserve">TRL max moyen</t>
  </si>
  <si>
    <t xml:space="preserve">Projets TRL ≥ 7 (TRL max)</t>
  </si>
  <si>
    <t xml:space="preserve">Capacité projets ≥ 100 kt/an (kt/an)</t>
  </si>
  <si>
    <t xml:space="preserve">Note : « Projets avec PV » compte les mentions « Photovoltaïque » et « PV » (ex. « Éolien et PV »). Les capacités sont celles annoncées, pas nécessairement installées.</t>
  </si>
  <si>
    <t xml:space="preserve">LCOE : hypothèses par pays (Table 6) et position du Maroc [HYP]</t>
  </si>
  <si>
    <t xml:space="preserve">Source [ART] Table 6 (réfs [216],[319]–[322]). Les valeurs LCOE de la Fig. 20 ne sont pas chiffrées dans le texte.</t>
  </si>
  <si>
    <t xml:space="preserve">Source d'électricité</t>
  </si>
  <si>
    <t xml:space="preserve">Prix élec. min (€/MWh)</t>
  </si>
  <si>
    <t xml:space="preserve">Prix élec. max (€/MWh)</t>
  </si>
  <si>
    <t xml:space="preserve">Source CO2</t>
  </si>
  <si>
    <t xml:space="preserve">Voie H2</t>
  </si>
  <si>
    <t xml:space="preserve">Hydroélectricité + pilote DAC</t>
  </si>
  <si>
    <t xml:space="preserve">DAC (80 %), industriel biogénique (20 %)</t>
  </si>
  <si>
    <t xml:space="preserve">Électrolyse PEM</t>
  </si>
  <si>
    <t xml:space="preserve">Hydro stable et bon marché ; DAC pour décarboner ammoniac &amp; carburants aviation</t>
  </si>
  <si>
    <t xml:space="preserve">Cogénération biomasse + réseau</t>
  </si>
  <si>
    <t xml:space="preserve">CO2 biogénique (industrie éthanol)</t>
  </si>
  <si>
    <t xml:space="preserve">Électrolyse AEL</t>
  </si>
  <si>
    <t xml:space="preserve">CO2 biogénique bon marché ; intermittence compensée par biomasse</t>
  </si>
  <si>
    <t xml:space="preserve">Solaire + éolien</t>
  </si>
  <si>
    <t xml:space="preserve">DAC (50 %), sources ponctuelles (50 %)</t>
  </si>
  <si>
    <t xml:space="preserve">Fort potentiel solaire ; besoins de stockage augmentent le LCOE</t>
  </si>
  <si>
    <t xml:space="preserve">Japon</t>
  </si>
  <si>
    <t xml:space="preserve">Nucléaire + mix solaire/éolien</t>
  </si>
  <si>
    <t xml:space="preserve">DAC (60 %), industriel (40 %)</t>
  </si>
  <si>
    <t xml:space="preserve">SOEC + PEM hybride</t>
  </si>
  <si>
    <t xml:space="preserve">Nucléaire = base stable ; SOEC pour intégration haute température</t>
  </si>
  <si>
    <t xml:space="preserve">Éolien + mix réseau</t>
  </si>
  <si>
    <t xml:space="preserve">Sources ponctuelles (raffineries, acier)</t>
  </si>
  <si>
    <t xml:space="preserve">Mix réseau ; politiques incitant au CCS sur sources ponctuelles</t>
  </si>
  <si>
    <t xml:space="preserve">Gaz + renouvelables</t>
  </si>
  <si>
    <t xml:space="preserve">Sources ponctuelles + pilote DAC</t>
  </si>
  <si>
    <t xml:space="preserve">Sourcing CO2 hybride ; IRA/BIL influencent l'économie</t>
  </si>
  <si>
    <t xml:space="preserve">Solaire + éolien + sortie du charbon</t>
  </si>
  <si>
    <t xml:space="preserve">DAC (30 %), sources ponctuelles (70 %)</t>
  </si>
  <si>
    <t xml:space="preserve">AEL &amp; PEM</t>
  </si>
  <si>
    <t xml:space="preserve">Grandes fermes solaires ; DAC plus coûteux en phase actuelle</t>
  </si>
  <si>
    <t xml:space="preserve">Arabie saoudite</t>
  </si>
  <si>
    <t xml:space="preserve">Solaire (PV désertique)</t>
  </si>
  <si>
    <t xml:space="preserve">PV ultra bon marché ; focus export d'ammoniac</t>
  </si>
  <si>
    <t xml:space="preserve">Maroc [HYP]</t>
  </si>
  <si>
    <t xml:space="preserve">PV + éolien hybride (sud/Atlantique)</t>
  </si>
  <si>
    <t xml:space="preserve">Point source (cimenteries, chimie, charbon) / biogénique ; DAC en option</t>
  </si>
  <si>
    <t xml:space="preserve">PEM (ou AEL)</t>
  </si>
  <si>
    <t xml:space="preserve">Hypothèse Sherpa : plage à valider par PPA/appels d'offres et profils de site</t>
  </si>
  <si>
    <t xml:space="preserve">Prix élec. moyen (milieu de fourchette, 8 pays)</t>
  </si>
  <si>
    <t xml:space="preserve">Maroc [HYP] milieu de fourchette</t>
  </si>
  <si>
    <t xml:space="preserve">Écart Maroc vs moyenne (%)</t>
  </si>
  <si>
    <t xml:space="preserve">Politiques, réglementation et certification</t>
  </si>
  <si>
    <t xml:space="preserve">[ART] §2.</t>
  </si>
  <si>
    <t xml:space="preserve">Région</t>
  </si>
  <si>
    <t xml:space="preserve">Instrument / mesure</t>
  </si>
  <si>
    <t xml:space="preserve">Détail</t>
  </si>
  <si>
    <t xml:space="preserve">Pertinence pour e-fuels / Maroc</t>
  </si>
  <si>
    <t xml:space="preserve">Europe</t>
  </si>
  <si>
    <t xml:space="preserve">Cibles</t>
  </si>
  <si>
    <t xml:space="preserve">European Green Deal (2019) / Loi Climat (2021)</t>
  </si>
  <si>
    <t xml:space="preserve">Neutralité 2050 ; −55 % GES en 2030 vs 1990</t>
  </si>
  <si>
    <t xml:space="preserve">2050 / 2030</t>
  </si>
  <si>
    <t xml:space="preserve">Cadre de demande pour e-fuels</t>
  </si>
  <si>
    <t xml:space="preserve">NextGenerationEU / Recovery &amp; Resilience Facility</t>
  </si>
  <si>
    <t xml:space="preserve">Programme de relance de 800 Md€</t>
  </si>
  <si>
    <t xml:space="preserve">800 Md€</t>
  </si>
  <si>
    <t xml:space="preserve">Soutien transition et infrastructures</t>
  </si>
  <si>
    <t xml:space="preserve">Paquet législatif</t>
  </si>
  <si>
    <t xml:space="preserve">Fit for 55</t>
  </si>
  <si>
    <t xml:space="preserve">Extension ETS au maritime et routier ; CBAM ; Fonds social pour le climat</t>
  </si>
  <si>
    <t xml:space="preserve">Prix du carbone sur le maritime ; protection des industriels UE</t>
  </si>
  <si>
    <t xml:space="preserve">Énergie</t>
  </si>
  <si>
    <t xml:space="preserve">RePowerEU (2022)</t>
  </si>
  <si>
    <t xml:space="preserve">Réduire la dépendance au gaz fossile ; 10 Mt H2 renouvelable (production + imports) en 2030</t>
  </si>
  <si>
    <t xml:space="preserve">10 Mt H2</t>
  </si>
  <si>
    <t xml:space="preserve">Opportunité d'import d'H2/e-fuels (Maroc potentiel exportateur)</t>
  </si>
  <si>
    <t xml:space="preserve">Directive</t>
  </si>
  <si>
    <t xml:space="preserve">RED (EU 2018/2001, 2023/2413)</t>
  </si>
  <si>
    <t xml:space="preserve">Cibles RFNBO contraignantes</t>
  </si>
  <si>
    <t xml:space="preserve">Définit ce qu'est un RFNBO</t>
  </si>
  <si>
    <t xml:space="preserve">Aviation</t>
  </si>
  <si>
    <t xml:space="preserve">ReFuelEU Aviation (EU 2023/2405)</t>
  </si>
  <si>
    <t xml:space="preserve">Mandat SAF : 2 % en 2025 → 63 % en 2050</t>
  </si>
  <si>
    <t xml:space="preserve">Demande garantie d'e-kérosène/SAF</t>
  </si>
  <si>
    <t xml:space="preserve">Maritime</t>
  </si>
  <si>
    <t xml:space="preserve">FuelEU Maritime (EU 2023/1805)</t>
  </si>
  <si>
    <t xml:space="preserve">Promeut e-méthanol et e-ammoniac</t>
  </si>
  <si>
    <t xml:space="preserve">Demande maritime (soutage)</t>
  </si>
  <si>
    <t xml:space="preserve">Infrastructure</t>
  </si>
  <si>
    <t xml:space="preserve">AFIR (EU 2023/1804)</t>
  </si>
  <si>
    <t xml:space="preserve">Déploiement des infrastructures H2/électriques</t>
  </si>
  <si>
    <t xml:space="preserve">Instruments financiers</t>
  </si>
  <si>
    <t xml:space="preserve">CFD, PPA, Innovation Fund, Banque européenne de l'hydrogène</t>
  </si>
  <si>
    <t xml:space="preserve">Réduire l'écart de coût avec le fossile</t>
  </si>
  <si>
    <t xml:space="preserve">Modèles de financement pour projets Maroc-export</t>
  </si>
  <si>
    <t xml:space="preserve">Lois</t>
  </si>
  <si>
    <t xml:space="preserve">IRA + BIL (2021)</t>
  </si>
  <si>
    <t xml:space="preserve">BIL : 1 200 Md$ d'infrastructures, hubs H2 régionaux ; IRA : crédits 45Z (carburants bas carbone, SAF), 45V (H2)</t>
  </si>
  <si>
    <t xml:space="preserve">1,2 Tn$</t>
  </si>
  <si>
    <t xml:space="preserve">Crédits d'impôt — fortement réduits/gelés en 2025 selon l'article</t>
  </si>
  <si>
    <t xml:space="preserve">[ART] §2.2</t>
  </si>
  <si>
    <t xml:space="preserve">Normes</t>
  </si>
  <si>
    <t xml:space="preserve">RFS et LCFS (Californie, Oregon, Washington)</t>
  </si>
  <si>
    <t xml:space="preserve">Mandats de mélange et intensité carbone ; génèrent des crédits</t>
  </si>
  <si>
    <t xml:space="preserve">Marchés de crédits pour SAF/e-fuels</t>
  </si>
  <si>
    <t xml:space="preserve">Objectif</t>
  </si>
  <si>
    <t xml:space="preserve">SAF Grand Challenge</t>
  </si>
  <si>
    <t xml:space="preserve">10 % du carburant aviation en 2030, 100 % en 2050</t>
  </si>
  <si>
    <t xml:space="preserve">10 % / 100 %</t>
  </si>
  <si>
    <t xml:space="preserve">Cible de demande</t>
  </si>
  <si>
    <t xml:space="preserve">Risque politique</t>
  </si>
  <si>
    <t xml:space="preserve">Gel de fonds propres 2025</t>
  </si>
  <si>
    <t xml:space="preserve">Ordre exécutif suspendant des financements ; retrait de crédits EV</t>
  </si>
  <si>
    <t xml:space="preserve">Incertitude de marché</t>
  </si>
  <si>
    <t xml:space="preserve">Climate Change Act 2022</t>
  </si>
  <si>
    <t xml:space="preserve">−43 % en 2030 vs 2005 ; neutralité 2050</t>
  </si>
  <si>
    <t xml:space="preserve">−43 % / 2050</t>
  </si>
  <si>
    <t xml:space="preserve">Contexte de demande</t>
  </si>
  <si>
    <t xml:space="preserve">[ART] §2.3</t>
  </si>
  <si>
    <t xml:space="preserve">Powering Australia (23 Md$), Hydrogen Headstart (2 Md$), NRF (3 Md$), ARENA (&gt;2,25 Md$), CEFC (&gt;12 Md$), Powering the Regions (1,9 Md$)</t>
  </si>
  <si>
    <t xml:space="preserve">Réseau, H2, électrolyseurs, bioénergie, REZ</t>
  </si>
  <si>
    <t xml:space="preserve">Modèle de de-risking public-privé (Zones d'énergie renouvelable)</t>
  </si>
  <si>
    <t xml:space="preserve">Double objectif carbone</t>
  </si>
  <si>
    <t xml:space="preserve">Pic CO2 avant 2030 ; neutralité 2060</t>
  </si>
  <si>
    <t xml:space="preserve">2030 / 2060</t>
  </si>
  <si>
    <t xml:space="preserve">[ART] §2.4</t>
  </si>
  <si>
    <t xml:space="preserve">Déploiement ENR</t>
  </si>
  <si>
    <t xml:space="preserve">14e plan quinquennal</t>
  </si>
  <si>
    <t xml:space="preserve">3 207 GW de nouvelles capacités 2024–2030 ; 60 % des additions mondiales 2030</t>
  </si>
  <si>
    <t xml:space="preserve">3 207 GW</t>
  </si>
  <si>
    <t xml:space="preserve">Prix bas ENR et équipements</t>
  </si>
  <si>
    <t xml:space="preserve">Projets e-fuels</t>
  </si>
  <si>
    <t xml:space="preserve">Shanxi (1 GW), Topsoe Guangxi</t>
  </si>
  <si>
    <t xml:space="preserve">350 kt SAF/an (10,7 Md¥ ≈ 1,48 Md$) ; 300 kt/an de charge</t>
  </si>
  <si>
    <t xml:space="preserve">350 kt/an</t>
  </si>
  <si>
    <t xml:space="preserve">Référence de coûts d'investissement</t>
  </si>
  <si>
    <t xml:space="preserve">Scénario AIE</t>
  </si>
  <si>
    <t xml:space="preserve">H2 et e-fuels</t>
  </si>
  <si>
    <t xml:space="preserve">3 % des réductions cumulatives de CO2 d'ici 2060 ; 26 % de la demande en carburant aviation</t>
  </si>
  <si>
    <t xml:space="preserve">26 % aviation</t>
  </si>
  <si>
    <t xml:space="preserve">Voies SAF approuvées ASTM (Table 1)</t>
  </si>
  <si>
    <t xml:space="preserve">Référence ASTM</t>
  </si>
  <si>
    <t xml:space="preserve">Procédé</t>
  </si>
  <si>
    <t xml:space="preserve">Charge</t>
  </si>
  <si>
    <t xml:space="preserve">Mélange max (% vol.)</t>
  </si>
  <si>
    <t xml:space="preserve">ASTM D7566 (A1)</t>
  </si>
  <si>
    <t xml:space="preserve">FT-SPK</t>
  </si>
  <si>
    <t xml:space="preserve">Syngas (gaz naturel, charbon, biomasse)</t>
  </si>
  <si>
    <t xml:space="preserve">ASTM D7566 (A2)</t>
  </si>
  <si>
    <t xml:space="preserve">HEFA</t>
  </si>
  <si>
    <t xml:space="preserve">Huiles biologiques, graisses animales, huiles recyclées</t>
  </si>
  <si>
    <t xml:space="preserve">ASTM D7566 (A3)</t>
  </si>
  <si>
    <t xml:space="preserve">SIP</t>
  </si>
  <si>
    <t xml:space="preserve">Biomasse pour sucres fermentés</t>
  </si>
  <si>
    <t xml:space="preserve">ASTM D7566 (A4)</t>
  </si>
  <si>
    <t xml:space="preserve">FT-SKA</t>
  </si>
  <si>
    <t xml:space="preserve">ASTM D7566 (A5)</t>
  </si>
  <si>
    <t xml:space="preserve">ATJ-SPK</t>
  </si>
  <si>
    <t xml:space="preserve">Éthanol ou isobutanol</t>
  </si>
  <si>
    <t xml:space="preserve">ASTM D7566 (A6)</t>
  </si>
  <si>
    <t xml:space="preserve">CHJ</t>
  </si>
  <si>
    <t xml:space="preserve">Triglycérides (soja, jatropha, caméline…)</t>
  </si>
  <si>
    <t xml:space="preserve">ASTM D7566 (A7)</t>
  </si>
  <si>
    <t xml:space="preserve">HC-HEFA-SPK</t>
  </si>
  <si>
    <t xml:space="preserve">Algues</t>
  </si>
  <si>
    <t xml:space="preserve">ASTM D1655 (A1)</t>
  </si>
  <si>
    <t xml:space="preserve">Co-traitement FT</t>
  </si>
  <si>
    <t xml:space="preserve">Biocrude FT comme charge dans raffinerie</t>
  </si>
  <si>
    <t xml:space="preserve">Certification, documentation et durabilité</t>
  </si>
  <si>
    <t xml:space="preserve">ASTM D1655</t>
  </si>
  <si>
    <t xml:space="preserve">Spécification du Jet A / Jet A-1 conventionnel</t>
  </si>
  <si>
    <t xml:space="preserve">ASTM D7566</t>
  </si>
  <si>
    <t xml:space="preserve">Carburéacteur contenant des hydrocarbures de synthèse (mélange autorisé)</t>
  </si>
  <si>
    <t xml:space="preserve">ASTM D4054</t>
  </si>
  <si>
    <t xml:space="preserve">Qualification et approbation de nouveaux carburants (4 niveaux, 3 phases)</t>
  </si>
  <si>
    <t xml:space="preserve">Durée / coût</t>
  </si>
  <si>
    <t xml:space="preserve">3 à 5 ans et jusqu'à 15 M$ par voie</t>
  </si>
  <si>
    <t xml:space="preserve">Fast Track (2020)</t>
  </si>
  <si>
    <t xml:space="preserve">Procédure simplifiée mais mélange ≤ 10 % avec Jet A/A-1</t>
  </si>
  <si>
    <t xml:space="preserve">Limite actuelle</t>
  </si>
  <si>
    <t xml:space="preserve">Aucune voie certifiée pour 100 % de SAF en aviation commerciale</t>
  </si>
  <si>
    <t xml:space="preserve">Documents</t>
  </si>
  <si>
    <t xml:space="preserve">RCQ (certificat qualité raffinerie), CoA (analyse labo), RTC (recertification)</t>
  </si>
  <si>
    <t xml:space="preserve">[ART] §2.5.2</t>
  </si>
  <si>
    <t xml:space="preserve">Mélange SAF/Jet A</t>
  </si>
  <si>
    <t xml:space="preserve">Réservoir dédié ou injection directe lors de la livraison ; nouveau CoA puis reclassification ASTM D1655</t>
  </si>
  <si>
    <t xml:space="preserve">CORSIA (OACI), RSB, ISCC : réduction GES cycle de vie, changement d'usage des sols, eau/air/sol/déchets</t>
  </si>
  <si>
    <t xml:space="preserve">Lacunes pour e-fuels</t>
  </si>
  <si>
    <t xml:space="preserve">Normes insuffisantes, critères de durabilité incohérents, intégration infra et traçabilité insuffisantes</t>
  </si>
  <si>
    <t xml:space="preserve">Barrières, risques et atténuation</t>
  </si>
  <si>
    <t xml:space="preserve">Barrières issues de l'article [ART] ; ajouts Maroc [HYP].</t>
  </si>
  <si>
    <t xml:space="preserve">Barrière / risque</t>
  </si>
  <si>
    <t xml:space="preserve">Gravité (qualitative)</t>
  </si>
  <si>
    <t xml:space="preserve">Référence</t>
  </si>
  <si>
    <t xml:space="preserve">Mesure d'atténuation proposée</t>
  </si>
  <si>
    <t xml:space="preserve">Statut source</t>
  </si>
  <si>
    <t xml:space="preserve">Technique</t>
  </si>
  <si>
    <t xml:space="preserve">Rendement global faible vs électrification directe (pertes électricité→H2→carburant)</t>
  </si>
  <si>
    <t xml:space="preserve">Élevé</t>
  </si>
  <si>
    <t xml:space="preserve">Article §6, §3</t>
  </si>
  <si>
    <t xml:space="preserve">Réserver les e-fuels aux usages non électrifiables (aviation, maritime) ; optimiser intégration thermique ; viser SOEC/co-électrolyse à terme</t>
  </si>
  <si>
    <t xml:space="preserve">[ART]</t>
  </si>
  <si>
    <t xml:space="preserve">Désactivation des catalyseurs (voie méthanol/MtL, CZA/CZZA, coke ZSM-5)</t>
  </si>
  <si>
    <t xml:space="preserve">Moyen</t>
  </si>
  <si>
    <t xml:space="preserve">Article §4.2, §4.4</t>
  </si>
  <si>
    <t xml:space="preserve">Choisir voies éprouvées ; plan de maintenance catalyseur ; garanties fournisseurs</t>
  </si>
  <si>
    <t xml:space="preserve">Intermittence ENR et heures pleine charge insuffisantes (3 000–4 000 h/an)</t>
  </si>
  <si>
    <t xml:space="preserve">Article §3.5</t>
  </si>
  <si>
    <t xml:space="preserve">Hybridation PV+éolien, stockage H2/batteries, électrolyseurs flexibles (PEM), sites à &gt;5 000 h</t>
  </si>
  <si>
    <t xml:space="preserve">[ART]/[HYP]</t>
  </si>
  <si>
    <t xml:space="preserve">Durabilité SOEC (8–20 kh, dégradation 3–50 %/an)</t>
  </si>
  <si>
    <t xml:space="preserve">Article Table 4</t>
  </si>
  <si>
    <t xml:space="preserve">Attendre TRL ≥ 8 ; pilotes seulement</t>
  </si>
  <si>
    <t xml:space="preserve">Économique</t>
  </si>
  <si>
    <t xml:space="preserve">CAPEX électrolyseurs et captage CO2 élevés ; coût H2 3–6 €/kg</t>
  </si>
  <si>
    <t xml:space="preserve">Article §6</t>
  </si>
  <si>
    <t xml:space="preserve">Appels d'offres compétitifs ; standardisation modulaire ; financements climat/CFD</t>
  </si>
  <si>
    <t xml:space="preserve">Écart de coût avec le fossile (e-kérosène 3 062–4 215 €/t aujourd'hui)</t>
  </si>
  <si>
    <t xml:space="preserve">Article §4.4.1</t>
  </si>
  <si>
    <t xml:space="preserve">Contrats d'achat à long terme avec compagnies (mandats UE), primes vertes, CBAM</t>
  </si>
  <si>
    <t xml:space="preserve">Coût du CO2 (DAC ≥ 235 $/t)</t>
  </si>
  <si>
    <t xml:space="preserve">Article §3.2.3</t>
  </si>
  <si>
    <t xml:space="preserve">Privilégier sources ponctuelles/biogéniques ; DAC seulement si valeur eau/émissions négatives</t>
  </si>
  <si>
    <t xml:space="preserve">Réglementaire</t>
  </si>
  <si>
    <t xml:space="preserve">Cadre RFNBO fragmenté (comptabilité carbone, durabilité hétérogènes)</t>
  </si>
  <si>
    <t xml:space="preserve">Article §1.1, §6</t>
  </si>
  <si>
    <t xml:space="preserve">Veille réglementaire UE ; certification ISCC/RSB dès la conception</t>
  </si>
  <si>
    <t xml:space="preserve">Certification ASTM longue (3–5 ans, jusqu'à 15 M$) ; pas de voie 100 % SAF</t>
  </si>
  <si>
    <t xml:space="preserve">Article §2.5.1</t>
  </si>
  <si>
    <t xml:space="preserve">S'appuyer sur voies déjà approuvées (FT-SPK 50 %) et partenaires OEM</t>
  </si>
  <si>
    <t xml:space="preserve">Incertitude politique (ex. retraits USA 2025)</t>
  </si>
  <si>
    <t xml:space="preserve">Article §2.2</t>
  </si>
  <si>
    <t xml:space="preserve">Ne pas dépendre d'un seul marché ; contrats indexés ; diversifier (UE, maritime, local)</t>
  </si>
  <si>
    <t xml:space="preserve">Infrastructure limitée et matériaux critiques</t>
  </si>
  <si>
    <t xml:space="preserve">Article §3, §6</t>
  </si>
  <si>
    <t xml:space="preserve">Co-localiser production/ports ; sécuriser chaîne d'approvisionnement électrolyseurs (Pt, Ir pour PEM)</t>
  </si>
  <si>
    <t xml:space="preserve">Environnement</t>
  </si>
  <si>
    <t xml:space="preserve">Consommation d'eau élevée (≈11 L/kg H2 ; jusqu'à 30 kg/kg gate-to-grave)</t>
  </si>
  <si>
    <t xml:space="preserve">Article §3.4</t>
  </si>
  <si>
    <t xml:space="preserve">Dessalement + récupération d'eau DAC ; recyclage ; intégration énergétique</t>
  </si>
  <si>
    <t xml:space="preserve">Intensité carbone dépend de l'électricité (réseau 481 gCO2/kWh)</t>
  </si>
  <si>
    <t xml:space="preserve">Alimentation 100 % renouvelable additionnelle ; garanties d'origine ; MRV</t>
  </si>
  <si>
    <t xml:space="preserve">Données</t>
  </si>
  <si>
    <t xml:space="preserve">Variabilité des ACV et manque de standardisation expérimentale</t>
  </si>
  <si>
    <t xml:space="preserve">Documenter limites de système ; analyses de sensibilité ; Monte-Carlo</t>
  </si>
  <si>
    <t xml:space="preserve">Foncier, raccordement réseau et autorisation environnementale pour grands projets</t>
  </si>
  <si>
    <t xml:space="preserve">Cartographie des sites ; dialogue précoce avec les autorités (à valider)</t>
  </si>
  <si>
    <t xml:space="preserve">Stress hydrique national — acceptabilité de la consommation d'eau</t>
  </si>
  <si>
    <t xml:space="preserve">100 % dessalement dédié alimenté par ENR ; bilan eau transparent</t>
  </si>
  <si>
    <t xml:space="preserve">Compétences locales (exploitation PtX) et chaîne d'approvisionnement</t>
  </si>
  <si>
    <t xml:space="preserve">Partenariats technologiques ; formation (UM6P, IRESEN — à valider)</t>
  </si>
  <si>
    <t xml:space="preserve">Contexte Maroc — éléments à valider [HYP]</t>
  </si>
  <si>
    <t xml:space="preserve">NON issu de l'article : connaissance générale de Sherpa. Chaque ligne a un niveau de confiance et la source de validation recommandée.</t>
  </si>
  <si>
    <t xml:space="preserve">Confiance</t>
  </si>
  <si>
    <t xml:space="preserve">Où valider / collecter</t>
  </si>
  <si>
    <t xml:space="preserve">Ressource ENR</t>
  </si>
  <si>
    <t xml:space="preserve">Fort potentiel solaire (sud) et éolien (Atlantique : Dakhla, Laâyoune, Tarfaya, Essaouira) ; facteurs de charge éoliens souvent 40–55 % sur sites côtiers du sud</t>
  </si>
  <si>
    <t xml:space="preserve">Moyenne</t>
  </si>
  <si>
    <t xml:space="preserve">Données de site (mât de mesure, ERA5, Global Wind/Solar Atlas) ; ONEE/MASEN</t>
  </si>
  <si>
    <t xml:space="preserve">Prix électricité ENR</t>
  </si>
  <si>
    <t xml:space="preserve">Hypothèse 22–45 €/MWh pour PV+éolien hybride (milieu 30) — à confronter aux PPA/appels d'offres récents</t>
  </si>
  <si>
    <t xml:space="preserve">Faible</t>
  </si>
  <si>
    <t xml:space="preserve">MASEN, ONEE, appels d'offres, développeurs privés</t>
  </si>
  <si>
    <t xml:space="preserve">Stratégie hydrogène</t>
  </si>
  <si>
    <t xml:space="preserve">Feuille de route hydrogène vert (2021) et « Offre Maroc » (2023) mobilisant du foncier pour projets PtX ; statut des projets/consortia à vérifier (évolutions 2025–2026)</t>
  </si>
  <si>
    <t xml:space="preserve">Ministère de la Transition énergétique, Agence des Énergies Renouvelables, presse spécialisée</t>
  </si>
  <si>
    <t xml:space="preserve">Demande locale ammoniac</t>
  </si>
  <si>
    <t xml:space="preserve">OCP (phosphates/engrais, Jorf Lasfar) : gros consommateur d'ammoniac ; ambitions d'ammoniac vert annoncées (volumes/calendrier à vérifier)</t>
  </si>
  <si>
    <t xml:space="preserve">OCP, rapports annuels</t>
  </si>
  <si>
    <t xml:space="preserve">Sources de CO2</t>
  </si>
  <si>
    <t xml:space="preserve">Cimenteries, centrales à charbon (Jorf Lasfar, Safi), sites chimiques, sources biogéniques (sucreries, biogaz, fermentation) — volumes et concentrations à cartographier</t>
  </si>
  <si>
    <t xml:space="preserve">Inventaire GES national, industriels</t>
  </si>
  <si>
    <t xml:space="preserve">Stress hydrique national → électrolyse alimentée par dessalement dédié ; besoin ≈ 11 L/kg H2 (voir calculateur) ; gestion de la saumure</t>
  </si>
  <si>
    <t xml:space="preserve">ONEE-Branche eau, projets de dessalement existants</t>
  </si>
  <si>
    <t xml:space="preserve">Ports et logistique</t>
  </si>
  <si>
    <t xml:space="preserve">Ports d'exportation potentiels : Tanger Med, Nador West Med, Jorf Lasfar, Dakhla Atlantique ; proximité de l'Europe (soutage maritime, export e-fuels)</t>
  </si>
  <si>
    <t xml:space="preserve">Tanger Med Authority, ANP</t>
  </si>
  <si>
    <t xml:space="preserve">Marché export UE</t>
  </si>
  <si>
    <t xml:space="preserve">ReFuelEU (SAF 2 % en 2025 → 63 % en 2050 [ART]) et FuelEU Maritime créent une demande ; conditions RFNBO (additionnalité, corrélation temporelle/géographique) à intégrer — détails à vérifier dans les actes délégués de l'UE</t>
  </si>
  <si>
    <t xml:space="preserve">Commission européenne, DG ENER</t>
  </si>
  <si>
    <t xml:space="preserve">CBAM</t>
  </si>
  <si>
    <t xml:space="preserve">Mécanisme d'ajustement carbone aux frontières de l'UE (cité par l'article) — couvre notamment hydrogène, engrais ; impacte export d'ammoniac/engrais carbonés</t>
  </si>
  <si>
    <t xml:space="preserve">Règlement (UE) 2023/956 [ART réf. 34]</t>
  </si>
  <si>
    <t xml:space="preserve">Réseau et interconnexion</t>
  </si>
  <si>
    <t xml:space="preserve">Interconnexions avec l'Espagne ; réseau marocain à renforcer pour grands électrolyseurs</t>
  </si>
  <si>
    <t xml:space="preserve">ONEE</t>
  </si>
  <si>
    <t xml:space="preserve">Cadre SAF marocain</t>
  </si>
  <si>
    <t xml:space="preserve">Existence d'un mandat national SAF/maritime : non vérifiée ici</t>
  </si>
  <si>
    <t xml:space="preserve">ONDA, ministère des Transports</t>
  </si>
  <si>
    <t xml:space="preserve">Banques de développement et fonds climat ; mécanismes de type CFD absents localement (hypothèse)</t>
  </si>
  <si>
    <t xml:space="preserve">BEI, KfW, BAD, Masen Financial</t>
  </si>
  <si>
    <t xml:space="preserve">Données à collecter en priorité (checklist)</t>
  </si>
  <si>
    <t xml:space="preserve">Donnée</t>
  </si>
  <si>
    <t xml:space="preserve">1</t>
  </si>
  <si>
    <t xml:space="preserve">Profils horaires PV et éolien par site (1 an complet minimum) → heures pleine charge réalistes pour l'électrolyseur</t>
  </si>
  <si>
    <t xml:space="preserve">Offres de prix ENR (PPA) et tarif de réseau pour auto-consommation / wheeling</t>
  </si>
  <si>
    <t xml:space="preserve">Devis électrolyseur (AEL/PEM) et captage CO2, installation locale, délais, droits de douane</t>
  </si>
  <si>
    <t xml:space="preserve">4</t>
  </si>
  <si>
    <t xml:space="preserve">Inventaire des sources CO2 (t/an, concentration, pureté, distance)</t>
  </si>
  <si>
    <t xml:space="preserve">5</t>
  </si>
  <si>
    <t xml:space="preserve">Disponibilité d'eau dessalée (m³/j) et coût marginal (€/m³) ; gestion saumure</t>
  </si>
  <si>
    <t xml:space="preserve">Contrats d'achat potentiels (compagnies aériennes, armateurs, OCP, traders)</t>
  </si>
  <si>
    <t xml:space="preserve">7</t>
  </si>
  <si>
    <t xml:space="preserve">Conformité RFNBO/ISCC : audit préliminaire, calendrier</t>
  </si>
  <si>
    <t xml:space="preserve">Pistes d'innovation pour Sherpa Engineering</t>
  </si>
  <si>
    <t xml:space="preserve">Ancrées dans l'article ; l'évaluation qualitative (valeur, risque) est un jugement Sherpa [HYP].</t>
  </si>
  <si>
    <t xml:space="preserve">ID</t>
  </si>
  <si>
    <t xml:space="preserve">Idée</t>
  </si>
  <si>
    <t xml:space="preserve">Justification (article)</t>
  </si>
  <si>
    <t xml:space="preserve">Valeur potentielle</t>
  </si>
  <si>
    <t xml:space="preserve">Risque technique</t>
  </si>
  <si>
    <t xml:space="preserve">Risque marché</t>
  </si>
  <si>
    <t xml:space="preserve">Prochaine étape</t>
  </si>
  <si>
    <t xml:space="preserve">O1</t>
  </si>
  <si>
    <t xml:space="preserve">Électrolyse PEM flexible couplée PV + éolien + stockage</t>
  </si>
  <si>
    <t xml:space="preserve">PEM : réponse &lt; 10 s, charge 0–100 %, TRL 8–9 ; maximise les heures pleine charge malgré l'intermittence (problème §3.5)</t>
  </si>
  <si>
    <t xml:space="preserve">Haut</t>
  </si>
  <si>
    <t xml:space="preserve">Étude de dispatch horaire (simulation) + dimensionnement stockage H2/batteries</t>
  </si>
  <si>
    <t xml:space="preserve">O2</t>
  </si>
  <si>
    <t xml:space="preserve">Co-électrolyse SOEC + intégration thermique (chaleur fatale cimenterie/OCP)</t>
  </si>
  <si>
    <t xml:space="preserve">SOEC : rendement système 76–81 %, co-électrolyse CO2+vapeur → syngas ; durabilité à prouver (8–20 kh)</t>
  </si>
  <si>
    <t xml:space="preserve">Faible-Moyen</t>
  </si>
  <si>
    <t xml:space="preserve">Pilote &lt; 1 MW ; veille technologique fournisseurs</t>
  </si>
  <si>
    <t xml:space="preserve">O3</t>
  </si>
  <si>
    <t xml:space="preserve">Cimenterie + oxy-combustion avec l'O2 de l'électrolyse → CO2 quasi pur</t>
  </si>
  <si>
    <t xml:space="preserve">L'oxy-combustion donne 85–95 % de CO2 mais l'O2 coûte cher (§3.2.1) ; l'électrolyse fournit ~8 kg O2 par kg H2 gratuitement</t>
  </si>
  <si>
    <t xml:space="preserve">Bilan matière/énergie d'un site cimentier pilote</t>
  </si>
  <si>
    <t xml:space="preserve">O4</t>
  </si>
  <si>
    <t xml:space="preserve">Ammoniac vert pour OCP / export (sans besoin de CO2)</t>
  </si>
  <si>
    <t xml:space="preserve">e-NH3 : TRL 6–8 ; projets de 500 kt/an (MadoquaPower2X) ; Haber–Bosch dynamique (Ramme) pour suivre l'ENR</t>
  </si>
  <si>
    <t xml:space="preserve">Étude de faisabilité couplée à la demande OCP (à valider)</t>
  </si>
  <si>
    <t xml:space="preserve">O5</t>
  </si>
  <si>
    <t xml:space="preserve">Haber–Bosch dynamique (flexibilité de charge)</t>
  </si>
  <si>
    <t xml:space="preserve">Projet Ramme (5 kt/an, TRL 6–7) : opération suivant le vent/PV ; réduit le besoin de stockage H2</t>
  </si>
  <si>
    <t xml:space="preserve">Spécification de rampes avec fournisseur (Topsoe)</t>
  </si>
  <si>
    <t xml:space="preserve">O6</t>
  </si>
  <si>
    <t xml:space="preserve">E-méthanol maritime pour soutage (Tanger Med, Dakhla)</t>
  </si>
  <si>
    <t xml:space="preserve">e-méthanol : technologie mature (TRL 8), CAPEX bas 300–1 200 €/kW ; demande FuelEU Maritime</t>
  </si>
  <si>
    <t xml:space="preserve">Contrats d'intention armateurs ; analyse du cycle de vie</t>
  </si>
  <si>
    <t xml:space="preserve">O7</t>
  </si>
  <si>
    <t xml:space="preserve">FT modulaire pour e-SAF (type INERATEC)</t>
  </si>
  <si>
    <t xml:space="preserve">Unités modulaires 2,5 kt/an (TRL 7–8) ; déploiement par étapes réduit le risque</t>
  </si>
  <si>
    <t xml:space="preserve">Benchmark fournisseurs modulaires ; plan de montée en échelle</t>
  </si>
  <si>
    <t xml:space="preserve">O8</t>
  </si>
  <si>
    <t xml:space="preserve">DAC + récupération d'eau en zone aride</t>
  </si>
  <si>
    <t xml:space="preserve">DAC-FT : consommation d'eau nette de −0,8 à 8 kg/kg ; coûts élevés (235–600 $/t)</t>
  </si>
  <si>
    <t xml:space="preserve">Évaluer uniquement si sources ponctuelles insuffisantes ; DAC basse température</t>
  </si>
  <si>
    <t xml:space="preserve">O9</t>
  </si>
  <si>
    <t xml:space="preserve">Dessalement et électrolyse co-localisés (eau ≈ 11 L/kg H2)</t>
  </si>
  <si>
    <t xml:space="preserve">Consommation d'eau modeste devant l'énergie ; saumure à gérer ; partage d'infrastructure ENR</t>
  </si>
  <si>
    <t xml:space="preserve">Intégrer au module dessalement du prototype</t>
  </si>
  <si>
    <t xml:space="preserve">O10</t>
  </si>
  <si>
    <t xml:space="preserve">Plateforme MRV/traçabilité RFNBO</t>
  </si>
  <si>
    <t xml:space="preserve">Lacune identifiée : traçabilité insuffisante de la chaîne (§2.5.1) ; certifications ISCC/RSB</t>
  </si>
  <si>
    <t xml:space="preserve">Prototype de registre numérique (compteurs horaires, garanties d'origine)</t>
  </si>
  <si>
    <t xml:space="preserve">O11</t>
  </si>
  <si>
    <t xml:space="preserve">Hybridation biomasse + H2 vert (CO2 biogénique)</t>
  </si>
  <si>
    <t xml:space="preserve">H2 de biomasse = composante du H2 vert élargi (§3.3) ; CO2 biogénique parmi les sources les plus utilisées dans les projets</t>
  </si>
  <si>
    <t xml:space="preserve">Cartographie biomasse/biogaz au Maroc</t>
  </si>
  <si>
    <t xml:space="preserve">O12</t>
  </si>
  <si>
    <t xml:space="preserve">E-fuels comme stockage d'énergie renouvelable saisonnier</t>
  </si>
  <si>
    <t xml:space="preserve">Les e-fuels stockent l'électricité excédentaire sous forme liquide/gazeuse (§3)</t>
  </si>
  <si>
    <t xml:space="preserve">Simulation de scénarios réseau 2030-2040</t>
  </si>
  <si>
    <t xml:space="preserve">O13</t>
  </si>
  <si>
    <t xml:space="preserve">Moteur d'optimisation d'investissement (MILP/stochastique) pour le prototype</t>
  </si>
  <si>
    <t xml:space="preserve">Optimiser la taille ENR/électrolyseur/stockage selon prix, heures de charge, CO2 (module optimization/)</t>
  </si>
  <si>
    <t xml:space="preserve">Brancher economics/efuel_economics.py au module optimization</t>
  </si>
  <si>
    <t xml:space="preserve">O14</t>
  </si>
  <si>
    <t xml:space="preserve">Cartographie SIG des sites PtX (ENR, eau, CO2, port, réseau)</t>
  </si>
  <si>
    <t xml:space="preserve">Pfennig et al. [307] : analyse SIG globale PtX 2050 citée par l'article</t>
  </si>
  <si>
    <t xml:space="preserve">Couches SIG + score multicritère</t>
  </si>
  <si>
    <t xml:space="preserve">Calculateur de coût de production des e-fuels (pré-faisabilité)</t>
  </si>
  <si>
    <t xml:space="preserve">Bleu = entrée · noir = formule · vert = lien · jaune = hypothèse clé. Modifiez les cellules bleues ; tout se recalcule.</t>
  </si>
  <si>
    <t xml:space="preserve">A. Paramètres généraux</t>
  </si>
  <si>
    <t xml:space="preserve">Unité</t>
  </si>
  <si>
    <t xml:space="preserve">Source / note</t>
  </si>
  <si>
    <t xml:space="preserve">Prix de l'électricité renouvelable</t>
  </si>
  <si>
    <t xml:space="preserve">€/MWh</t>
  </si>
  <si>
    <t xml:space="preserve">[HYP] Maroc PV+éolien hybride ; plage 22–45</t>
  </si>
  <si>
    <t xml:space="preserve">Heures pleine charge de l'électrolyseur</t>
  </si>
  <si>
    <t xml:space="preserve">h/an</t>
  </si>
  <si>
    <t xml:space="preserve">[HYP] article : régions typiques 3 000–4 000 h/an</t>
  </si>
  <si>
    <t xml:space="preserve">Technologie d'électrolyse</t>
  </si>
  <si>
    <t xml:space="preserve">AEL / PEM / SOEC</t>
  </si>
  <si>
    <t xml:space="preserve">[ART] PEM la plus utilisée</t>
  </si>
  <si>
    <t xml:space="preserve">Type de source de CO2</t>
  </si>
  <si>
    <t xml:space="preserve">Point source / DAC</t>
  </si>
  <si>
    <t xml:space="preserve">[ART] Table 2</t>
  </si>
  <si>
    <t xml:space="preserve">Taux d'actualisation (WACC)</t>
  </si>
  <si>
    <t xml:space="preserve">%</t>
  </si>
  <si>
    <t xml:space="preserve">[HYP] plage 6–12 %</t>
  </si>
  <si>
    <t xml:space="preserve">Durée de vie / amortissement</t>
  </si>
  <si>
    <t xml:space="preserve">ans</t>
  </si>
  <si>
    <t xml:space="preserve">Facteur de recouvrement du capital (CRF)</t>
  </si>
  <si>
    <t xml:space="preserve">1/an</t>
  </si>
  <si>
    <t xml:space="preserve">Taux de change €/USD</t>
  </si>
  <si>
    <t xml:space="preserve">€ par $</t>
  </si>
  <si>
    <t xml:space="preserve">Prix de l'eau dessalée</t>
  </si>
  <si>
    <t xml:space="preserve">€/m³</t>
  </si>
  <si>
    <t xml:space="preserve">[HYP] plage 1–3</t>
  </si>
  <si>
    <t xml:space="preserve">Eau stœchiométrique électrolyse</t>
  </si>
  <si>
    <t xml:space="preserve">L/kg H2</t>
  </si>
  <si>
    <t xml:space="preserve">Surconsommation d'eau réelle</t>
  </si>
  <si>
    <t xml:space="preserve">[ART] §3.4 (≈ +25 %)</t>
  </si>
  <si>
    <t xml:space="preserve">Eau réelle par kg d'H2</t>
  </si>
  <si>
    <t xml:space="preserve">Densité de l'hydrogène</t>
  </si>
  <si>
    <t xml:space="preserve">kg/Nm³</t>
  </si>
  <si>
    <t xml:space="preserve">Constante physique (0 °C, 1 atm)</t>
  </si>
  <si>
    <t xml:space="preserve">Taux d'utilisation de l'unité de synthèse</t>
  </si>
  <si>
    <t xml:space="preserve">OPEX unité de synthèse</t>
  </si>
  <si>
    <t xml:space="preserve">% CAPEX/an</t>
  </si>
  <si>
    <t xml:space="preserve">Rendement matière (conversion réelle)</t>
  </si>
  <si>
    <t xml:space="preserve">Électricité pour l'azote (cryogénique)</t>
  </si>
  <si>
    <t xml:space="preserve">kWh/kg N2</t>
  </si>
  <si>
    <t xml:space="preserve">Masse molaire H2</t>
  </si>
  <si>
    <t xml:space="preserve">g/mol</t>
  </si>
  <si>
    <t xml:space="preserve">Constante</t>
  </si>
  <si>
    <t xml:space="preserve">Masse molaire CO2</t>
  </si>
  <si>
    <t xml:space="preserve">Masse molaire N2</t>
  </si>
  <si>
    <t xml:space="preserve">Masse molaire méthanol</t>
  </si>
  <si>
    <t xml:space="preserve">Masse molaire DME</t>
  </si>
  <si>
    <t xml:space="preserve">Masse molaire NH3</t>
  </si>
  <si>
    <t xml:space="preserve">Masse molaire unité CH2 (hydrocarbures FT/MTG)</t>
  </si>
  <si>
    <t xml:space="preserve">Constante (approximation (CH2)n)</t>
  </si>
  <si>
    <t xml:space="preserve">B. Tables de référence (liens vers feuilles de données)</t>
  </si>
  <si>
    <t xml:space="preserve">Électrolyseur</t>
  </si>
  <si>
    <t xml:space="preserve">CAPEX min</t>
  </si>
  <si>
    <t xml:space="preserve">CAPEX max</t>
  </si>
  <si>
    <t xml:space="preserve">OPEX min %</t>
  </si>
  <si>
    <t xml:space="preserve">OPEX max %</t>
  </si>
  <si>
    <t xml:space="preserve">Source de CO2</t>
  </si>
  <si>
    <t xml:space="preserve">Coût min ($/t)</t>
  </si>
  <si>
    <t xml:space="preserve">Coût max ($/t)</t>
  </si>
  <si>
    <t xml:space="preserve">Énergie capture (MWh/t)</t>
  </si>
  <si>
    <t xml:space="preserve">[HYP] chaleur souvent fatale ; sert au calcul d'efficacité seulement</t>
  </si>
  <si>
    <t xml:space="preserve">[ART] §3.5 : chaleur 1,5–2,5 + élec 0,5–1 MWh/t (milieux)</t>
  </si>
  <si>
    <t xml:space="preserve">Le coût du CO2 en $/t (Table 2) intègre déjà énergie et capital : l'énergie de capture n'est utilisée que pour l'efficacité globale (pas de double comptage du coût).</t>
  </si>
  <si>
    <t xml:space="preserve">C. Paramètres dérivés de l'électrolyseur et du CO2</t>
  </si>
  <si>
    <t xml:space="preserve">Consommation système électrolyseur</t>
  </si>
  <si>
    <t xml:space="preserve">kWh/Nm³</t>
  </si>
  <si>
    <t xml:space="preserve">[CALC] milieu fourchette Table 4</t>
  </si>
  <si>
    <t xml:space="preserve">kWh/kg H2</t>
  </si>
  <si>
    <t xml:space="preserve">[CALC] (article : 45–73 kWh/kg)</t>
  </si>
  <si>
    <t xml:space="preserve">CAPEX électrolyseur</t>
  </si>
  <si>
    <t xml:space="preserve">€/kW</t>
  </si>
  <si>
    <t xml:space="preserve">OPEX électrolyseur</t>
  </si>
  <si>
    <t xml:space="preserve">Coût du CO2 (milieu de fourchette)</t>
  </si>
  <si>
    <t xml:space="preserve">$/t CO2</t>
  </si>
  <si>
    <t xml:space="preserve">[CALC] Table 2</t>
  </si>
  <si>
    <t xml:space="preserve">Coût du CO2</t>
  </si>
  <si>
    <t xml:space="preserve">€/t CO2</t>
  </si>
  <si>
    <t xml:space="preserve">Énergie de capture CO2 (pour efficacité)</t>
  </si>
  <si>
    <t xml:space="preserve">MWh/t CO2</t>
  </si>
  <si>
    <t xml:space="preserve">D. Coût de l'hydrogène (LCOH)</t>
  </si>
  <si>
    <t xml:space="preserve">Composante</t>
  </si>
  <si>
    <t xml:space="preserve">Formule</t>
  </si>
  <si>
    <t xml:space="preserve">€/kg H2</t>
  </si>
  <si>
    <t xml:space="preserve">prix × kWh/kg / 1000</t>
  </si>
  <si>
    <t xml:space="preserve">CAPEX + OPEX électrolyseur</t>
  </si>
  <si>
    <t xml:space="preserve">CAPEX × (CRF + OPEX%) / (h / kWh/kg)</t>
  </si>
  <si>
    <t xml:space="preserve">€/m³ × L/kg / 1000</t>
  </si>
  <si>
    <t xml:space="preserve">LCOH total</t>
  </si>
  <si>
    <t xml:space="preserve">Article : 3–6 €/kg selon électrolyseur et prix</t>
  </si>
  <si>
    <t xml:space="preserve">E. Données produits</t>
  </si>
  <si>
    <t xml:space="preserve">PCI (MJ/kg)</t>
  </si>
  <si>
    <t xml:space="preserve">H2 (t/t produit)</t>
  </si>
  <si>
    <t xml:space="preserve">CO2 (t/t)</t>
  </si>
  <si>
    <t xml:space="preserve">N2 (t/t)</t>
  </si>
  <si>
    <t xml:space="preserve">CAPEX conv. min (€/kW_fuel)</t>
  </si>
  <si>
    <t xml:space="preserve">CAPEX conv. max (€/kW_fuel)</t>
  </si>
  <si>
    <t xml:space="preserve">CAPEX conv. milieu</t>
  </si>
  <si>
    <t xml:space="preserve">Élec. synthèse (kWh/t)</t>
  </si>
  <si>
    <t xml:space="preserve">Prix fossile min (€/t)</t>
  </si>
  <si>
    <t xml:space="preserve">Prix fossile max (€/t)</t>
  </si>
  <si>
    <t xml:space="preserve">CAPEX [ART] ; élec. synthèse [HYP]</t>
  </si>
  <si>
    <t xml:space="preserve">CAPEX FT = [HYP] (non chiffré dans l'article) ; élec. synthèse 0,5 kWh/kg [ART]</t>
  </si>
  <si>
    <t xml:space="preserve">idem e-kérosène (mélange d'hydrocarbures FT)</t>
  </si>
  <si>
    <t xml:space="preserve">CAPEX MTG 600 €/kW_fuel [ART]</t>
  </si>
  <si>
    <t xml:space="preserve">CAPEX [ART] ; N2 cryogénique inclus</t>
  </si>
  <si>
    <t xml:space="preserve">PCI = pouvoir calorifique inférieur (valeurs usuelles). Stœchiométrie hydrocarbures : (CH2)n approximatif ; le coût est celui du mélange d'hydrocarbures FT/MTG (le coût du kérosène seul dépend de l'allocation des coproduits).</t>
  </si>
  <si>
    <t xml:space="preserve">F. Résultats — coût de production par produit [CALC]</t>
  </si>
  <si>
    <t xml:space="preserve">Coût H2 (€/t)</t>
  </si>
  <si>
    <t xml:space="preserve">Coût CO2 (€/t)</t>
  </si>
  <si>
    <t xml:space="preserve">Annuité CAPEX synthèse (€/t)</t>
  </si>
  <si>
    <t xml:space="preserve">Élec. synthèse + N2 (€/t)</t>
  </si>
  <si>
    <t xml:space="preserve">COÛT TOTAL (€/t)</t>
  </si>
  <si>
    <t xml:space="preserve">Coût (€/MWh PCI)</t>
  </si>
  <si>
    <t xml:space="preserve">Élec. totale (MWh/t)</t>
  </si>
  <si>
    <t xml:space="preserve">Efficacité globale élec.→carburant</t>
  </si>
  <si>
    <t xml:space="preserve">Eau (m³/t)</t>
  </si>
  <si>
    <t xml:space="preserve">Part H2 dans le coût</t>
  </si>
  <si>
    <t xml:space="preserve">Coût / prix fossile (x)</t>
  </si>
  <si>
    <t xml:space="preserve">Coût article min (€/t)</t>
  </si>
  <si>
    <t xml:space="preserve">Coût article max (€/t)</t>
  </si>
  <si>
    <t xml:space="preserve">Lecture : « Efficacité globale » = énergie du carburant / électricité totale (électrolyse + captage + synthèse). Différente du « rendement de procédé » 59–89 % de l'article, qui ne porte que sur la conversion.</t>
  </si>
  <si>
    <t xml:space="preserve">Le modèle ne chiffre ni stockage, ni réseau, ni transport, ni coûts indirects (EPC, terrain, financement intercalaire), ni génération ENR dédiée : le prix de l'électricité est un intrant.</t>
  </si>
  <si>
    <t xml:space="preserve">Analyses de sensibilité [CALC]</t>
  </si>
  <si>
    <t xml:space="preserve">Toutes les cellules sont des formules liées au Calculateur_LCOE.</t>
  </si>
  <si>
    <t xml:space="preserve">1. LCOH (€/kg H2) selon le prix de l'électricité (lignes) et les heures pleine charge (colonnes)</t>
  </si>
  <si>
    <t xml:space="preserve">€/MWh  \  h/an</t>
  </si>
  <si>
    <t xml:space="preserve">Technologie d'électrolyse, WACC, vie, CAPEX et eau : issus du Calculateur_LCOE.</t>
  </si>
  <si>
    <t xml:space="preserve">2. Coût de production du produit choisi (€/t) selon prix de l'électricité (lignes) et CAPEX électrolyseur (colonnes)</t>
  </si>
  <si>
    <t xml:space="preserve">Produit choisi</t>
  </si>
  <si>
    <t xml:space="preserve">Autres coûts (€/t, hors H2)</t>
  </si>
  <si>
    <t xml:space="preserve">Élec. synthèse + N2 (kWh/t)</t>
  </si>
  <si>
    <t xml:space="preserve">Les coûts d'électricité de synthèse sont recalculés avec le prix de la ligne (colonne « élec. synthèse » ci-dessus).</t>
  </si>
  <si>
    <t xml:space="preserve">€/MWh  \  CAPEX électrolyseur (€/kW)</t>
  </si>
  <si>
    <t xml:space="preserve">Matrice de décision — notation pondérée des e-fuels [HYP]</t>
  </si>
  <si>
    <t xml:space="preserve">Notes 1 (défavorable) à 5 (favorable) = jugement préliminaire Sherpa ancré dans l'article. Modifiez poids et notes (bleu) ; le classement se met à jour.</t>
  </si>
  <si>
    <t xml:space="preserve">Critère</t>
  </si>
  <si>
    <t xml:space="preserve">Poids</t>
  </si>
  <si>
    <t xml:space="preserve">Justification</t>
  </si>
  <si>
    <t xml:space="preserve">Maturité technologique (TRL)</t>
  </si>
  <si>
    <t xml:space="preserve">TRL projets (Table 5) : ammoniac 6–8 ; méthanol 5–8 ; FT 5–8 ; MTG 6–7 ; DME 5–6 (1 seul projet)</t>
  </si>
  <si>
    <t xml:space="preserve">Coût de production</t>
  </si>
  <si>
    <t xml:space="preserve">Coût / prix fossile du Calculateur : ammoniac 2,2x &lt; DME 2,8x &lt; méthanol 3,0x &lt; essence/kérosène/diesel 3,3–3,6x (valeurs par défaut)</t>
  </si>
  <si>
    <t xml:space="preserve">Compatibilité infrastructure existante</t>
  </si>
  <si>
    <t xml:space="preserve">Drop-in = 5</t>
  </si>
  <si>
    <t xml:space="preserve">Demande accessible (UE, maritime, local OCP)</t>
  </si>
  <si>
    <t xml:space="preserve">ReFuelEU, FuelEU Maritime, OCP [HYP]</t>
  </si>
  <si>
    <t xml:space="preserve">Faible besoin en CO2</t>
  </si>
  <si>
    <t xml:space="preserve">t CO2/t produit</t>
  </si>
  <si>
    <t xml:space="preserve">Clarté réglementaire / certification</t>
  </si>
  <si>
    <t xml:space="preserve">ASTM/RFNBO</t>
  </si>
  <si>
    <t xml:space="preserve">Synergie écosystème marocain</t>
  </si>
  <si>
    <t xml:space="preserve">OCP, ports, dessalement</t>
  </si>
  <si>
    <t xml:space="preserve">Somme des poids (doit = 100 %)</t>
  </si>
  <si>
    <t xml:space="preserve">SCORE PONDÉRÉ (1–5)</t>
  </si>
  <si>
    <t xml:space="preserve">RANG</t>
  </si>
  <si>
    <t xml:space="preserve">Coût de production (€/t) — lien calculateur</t>
  </si>
  <si>
    <t xml:space="preserve">Ces notes sont un point de départ pour un atelier de décision : elles ne remplacent pas une analyse multicritère (AHP/MCDA) avec les parties prenantes.</t>
  </si>
  <si>
    <t xml:space="preserve">Registre des hypothèses [HYP] — valeurs liées au Calculateur</t>
  </si>
  <si>
    <t xml:space="preserve">Les valeurs ci-dessous sont lues dans le Calculateur (vert) : modifiez-les dans le Calculateur.</t>
  </si>
  <si>
    <t xml:space="preserve">Hypothèse</t>
  </si>
  <si>
    <t xml:space="preserve">Valeur actuelle</t>
  </si>
  <si>
    <t xml:space="preserve">Plage plausible</t>
  </si>
  <si>
    <t xml:space="preserve">Impact sur le coût</t>
  </si>
  <si>
    <t xml:space="preserve">À valider par</t>
  </si>
  <si>
    <t xml:space="preserve">H01</t>
  </si>
  <si>
    <t xml:space="preserve">22–45</t>
  </si>
  <si>
    <t xml:space="preserve">Maroc PV+éolien hybride ; à confronter à PPA/appels d'offres</t>
  </si>
  <si>
    <t xml:space="preserve">Très élevé</t>
  </si>
  <si>
    <t xml:space="preserve">Développeur ENR / MASEN</t>
  </si>
  <si>
    <t xml:space="preserve">H02</t>
  </si>
  <si>
    <t xml:space="preserve">Heures pleine charge électrolyseur</t>
  </si>
  <si>
    <t xml:space="preserve">3 500–7 500</t>
  </si>
  <si>
    <t xml:space="preserve">Dépend du dimensionnement ENR/stockage</t>
  </si>
  <si>
    <t xml:space="preserve">Simulation horaire</t>
  </si>
  <si>
    <t xml:space="preserve">H03</t>
  </si>
  <si>
    <t xml:space="preserve">WACC</t>
  </si>
  <si>
    <t xml:space="preserve">6–12 %</t>
  </si>
  <si>
    <t xml:space="preserve">Risque pays/projet ; financements climat</t>
  </si>
  <si>
    <t xml:space="preserve">Direction financière</t>
  </si>
  <si>
    <t xml:space="preserve">H04</t>
  </si>
  <si>
    <t xml:space="preserve">Durée de vie</t>
  </si>
  <si>
    <t xml:space="preserve">15–25</t>
  </si>
  <si>
    <t xml:space="preserve">Stacks à remplacer ; SOEC plus court</t>
  </si>
  <si>
    <t xml:space="preserve">Fournisseurs</t>
  </si>
  <si>
    <t xml:space="preserve">H05</t>
  </si>
  <si>
    <t xml:space="preserve">€/$</t>
  </si>
  <si>
    <t xml:space="preserve">0,85–1,00</t>
  </si>
  <si>
    <t xml:space="preserve">Conversion des coûts de capture en €</t>
  </si>
  <si>
    <t xml:space="preserve">Banque</t>
  </si>
  <si>
    <t xml:space="preserve">H06</t>
  </si>
  <si>
    <t xml:space="preserve">1–3</t>
  </si>
  <si>
    <t xml:space="preserve">Impact très faible sur le coût (~0,02 €/kg H2)</t>
  </si>
  <si>
    <t xml:space="preserve">ONEE / opérateur dessalement</t>
  </si>
  <si>
    <t xml:space="preserve">H07</t>
  </si>
  <si>
    <t xml:space="preserve">Utilisation synthèse</t>
  </si>
  <si>
    <t xml:space="preserve">80–95 %</t>
  </si>
  <si>
    <t xml:space="preserve">Disponibilité de l'unité</t>
  </si>
  <si>
    <t xml:space="preserve">EPC</t>
  </si>
  <si>
    <t xml:space="preserve">H08</t>
  </si>
  <si>
    <t xml:space="preserve">OPEX synthèse</t>
  </si>
  <si>
    <t xml:space="preserve">3–6 %</t>
  </si>
  <si>
    <t xml:space="preserve">Standard industrie chimique</t>
  </si>
  <si>
    <t xml:space="preserve">EPC / exploitant</t>
  </si>
  <si>
    <t xml:space="preserve">H09</t>
  </si>
  <si>
    <t xml:space="preserve">Rendement matière</t>
  </si>
  <si>
    <t xml:space="preserve">90–98 %</t>
  </si>
  <si>
    <t xml:space="preserve">Pertes et sous-produits</t>
  </si>
  <si>
    <t xml:space="preserve">Licencieur procédé</t>
  </si>
  <si>
    <t xml:space="preserve">H10</t>
  </si>
  <si>
    <t xml:space="preserve">CAPEX FT (e-kérosène/diesel)</t>
  </si>
  <si>
    <t xml:space="preserve">€/kW_fuel</t>
  </si>
  <si>
    <t xml:space="preserve">1 000–1 800</t>
  </si>
  <si>
    <t xml:space="preserve">Non chiffré dans l'article ; plage de pré-faisabilité</t>
  </si>
  <si>
    <t xml:space="preserve">Licencieurs FT (Sasol, Velocys, INERATEC…)</t>
  </si>
  <si>
    <t xml:space="preserve">H11</t>
  </si>
  <si>
    <t xml:space="preserve">CAPEX SOEC (max 2 500 €/kW) et OPEX</t>
  </si>
  <si>
    <t xml:space="preserve">2 000–2 500</t>
  </si>
  <si>
    <t xml:space="preserve">Article : « &gt; 2 000 »</t>
  </si>
  <si>
    <t xml:space="preserve">Fournisseurs SOEC</t>
  </si>
  <si>
    <t xml:space="preserve">H12</t>
  </si>
  <si>
    <t xml:space="preserve">Énergie captage CO2 point source</t>
  </si>
  <si>
    <t xml:space="preserve">MWh/t</t>
  </si>
  <si>
    <t xml:space="preserve">0,1–0,5</t>
  </si>
  <si>
    <t xml:space="preserve">Chaleur souvent fatale ; pour efficacité seulement</t>
  </si>
  <si>
    <t xml:space="preserve">Industriel émetteur</t>
  </si>
  <si>
    <t xml:space="preserve">H13</t>
  </si>
  <si>
    <t xml:space="preserve">Prix de référence fossile</t>
  </si>
  <si>
    <t xml:space="preserve">€/t</t>
  </si>
  <si>
    <t xml:space="preserve">voir Calculateur col. J–K</t>
  </si>
  <si>
    <t xml:space="preserve">Valeurs indicatives larges</t>
  </si>
  <si>
    <t xml:space="preserve">Cotations marché</t>
  </si>
  <si>
    <t xml:space="preserve">H14</t>
  </si>
  <si>
    <t xml:space="preserve">Notes Matrice_Decision</t>
  </si>
  <si>
    <t xml:space="preserve">1–5</t>
  </si>
  <si>
    <t xml:space="preserve">Jugement préliminaire</t>
  </si>
  <si>
    <t xml:space="preserve">Atelier parties prenantes</t>
  </si>
  <si>
    <t xml:space="preserve">Alertes qualité des données</t>
  </si>
  <si>
    <t xml:space="preserve">Limites et incohérences relevées dans l'article ou dans la modélisation.</t>
  </si>
  <si>
    <t xml:space="preserve">Sujet</t>
  </si>
  <si>
    <t xml:space="preserve">Alerte</t>
  </si>
  <si>
    <t xml:space="preserve">Gravité</t>
  </si>
  <si>
    <t xml:space="preserve">Les « rendements de procédé » 59–89 % portent sur la conversion, pas sur la chaîne complète électricité→carburant (≈40–50 % dans le Calculateur). Ne pas les comparer à un rendement global.</t>
  </si>
  <si>
    <t xml:space="preserve">Coûts</t>
  </si>
  <si>
    <t xml:space="preserve">Les coûts proviennent de sources hétérogènes (hypothèses ACV et frontières différentes, l'article le reconnaît §1) ; le coût de production dépend très fortement du prix de l'électricité et des heures de charge.</t>
  </si>
  <si>
    <t xml:space="preserve">Unités</t>
  </si>
  <si>
    <t xml:space="preserve">Les coûts e-essence (USD/L) et e-kérosène (€/bbl et €/t) sont dans des unités différentes ; convertis ici avec [HYP] densité/change.</t>
  </si>
  <si>
    <t xml:space="preserve">Électrolyseur SOEC</t>
  </si>
  <si>
    <t xml:space="preserve">Table 4 donne un rendement stack « 100 % (PCI) » et un OPEX « − » : valeurs à interpréter (ratio thermoneutre, hors chaleur). SOEC CAPEX « &gt; 2 000 » : plage haute prise par [HYP].</t>
  </si>
  <si>
    <t xml:space="preserve">Table 6 / sources</t>
  </si>
  <si>
    <t xml:space="preserve">La réf. [320] (citée pour le CO2 biogénique du Brésil) porte sur la génération de méthane/CO2 dans des schistes riches en matière organique, ce qui semble peu pertinent pour la source citée : à vérifier avant de réutiliser les hypothèses Brésil.</t>
  </si>
  <si>
    <t xml:space="preserve">Typographie</t>
  </si>
  <si>
    <t xml:space="preserve">Texte de l'article §5 : « DAC ... is 3–5 more expensive » (facteur manquant, probablement « 3–5 fois »).</t>
  </si>
  <si>
    <t xml:space="preserve">Capacités projets</t>
  </si>
  <si>
    <t xml:space="preserve">Les capacités de la Table 5 sont annoncées (« ~ ») et mélangent opérationnel/planifié ; ne pas les additionner comme production réelle.</t>
  </si>
  <si>
    <t xml:space="preserve">Date</t>
  </si>
  <si>
    <t xml:space="preserve">Sans mise à jour, les prix d'électrolyseurs et la réglementation (USA 2025 notamment) évoluent : revérifier.</t>
  </si>
  <si>
    <t xml:space="preserve">Sources clés</t>
  </si>
  <si>
    <t xml:space="preserve">Numérotation = références de l'article [ART]. La liste complète (322 références) est dans l'article.</t>
  </si>
  <si>
    <t xml:space="preserve">Usage dans ce classeur</t>
  </si>
  <si>
    <t xml:space="preserve">Colelli et al. (2026), Energy Conversion and Management — doi:10.1016/j.enconman.2025.120529</t>
  </si>
  <si>
    <t xml:space="preserve">Article principal</t>
  </si>
  <si>
    <t xml:space="preserve">[1]</t>
  </si>
  <si>
    <t xml:space="preserve">Energy Institute, Statistical Review of World Energy (2024)</t>
  </si>
  <si>
    <t xml:space="preserve">Part fossile 2023</t>
  </si>
  <si>
    <t xml:space="preserve">[5]</t>
  </si>
  <si>
    <t xml:space="preserve">IRENA, Decarbonising hard-to-abate sectors with renewables (2024)</t>
  </si>
  <si>
    <t xml:space="preserve">[14]</t>
  </si>
  <si>
    <t xml:space="preserve">eFuel Alliance, production sites map (2025)</t>
  </si>
  <si>
    <t xml:space="preserve">[24]</t>
  </si>
  <si>
    <t xml:space="preserve">IEA, World Energy Investment 2024 — Chine</t>
  </si>
  <si>
    <t xml:space="preserve">Politique Chine</t>
  </si>
  <si>
    <t xml:space="preserve">[34]</t>
  </si>
  <si>
    <t xml:space="preserve">Règlement (UE) 2023/956 — CBAM</t>
  </si>
  <si>
    <t xml:space="preserve">UE</t>
  </si>
  <si>
    <t xml:space="preserve">[37]</t>
  </si>
  <si>
    <t xml:space="preserve">Directive (UE) 2018/2001 (RED) ; [38] Directive (UE) 2023/2413</t>
  </si>
  <si>
    <t xml:space="preserve">[41]</t>
  </si>
  <si>
    <t xml:space="preserve">Règlement (UE) 2023/2405 — ReFuelEU Aviation</t>
  </si>
  <si>
    <t xml:space="preserve">[43]</t>
  </si>
  <si>
    <t xml:space="preserve">Règlement (UE) 2023/1805 — FuelEU Maritime</t>
  </si>
  <si>
    <t xml:space="preserve">[58]</t>
  </si>
  <si>
    <t xml:space="preserve">U.S. DOE, SAF Grand Challenge Roadmap (2022)</t>
  </si>
  <si>
    <t xml:space="preserve">[83]</t>
  </si>
  <si>
    <t xml:space="preserve">U.S. DOE, Sustainable Aviation Fuel – Review of Technical Pathways (2020)</t>
  </si>
  <si>
    <t xml:space="preserve">SAF</t>
  </si>
  <si>
    <t xml:space="preserve">[86]</t>
  </si>
  <si>
    <t xml:space="preserve">ASTM D7566-24d</t>
  </si>
  <si>
    <t xml:space="preserve">[87]</t>
  </si>
  <si>
    <t xml:space="preserve">ASTM D4054-22</t>
  </si>
  <si>
    <t xml:space="preserve">[100]</t>
  </si>
  <si>
    <t xml:space="preserve">Brynolf et al. (2018), Electrofuels for the transport sector: a review of production costs, RSER 81</t>
  </si>
  <si>
    <t xml:space="preserve">CAPEX e-méthanol, DME, MTG</t>
  </si>
  <si>
    <t xml:space="preserve">[107]</t>
  </si>
  <si>
    <t xml:space="preserve">Concawe (2024), E-Fuels: a technoeconomic assessment…</t>
  </si>
  <si>
    <t xml:space="preserve">Coûts, énergie</t>
  </si>
  <si>
    <t xml:space="preserve">[163]</t>
  </si>
  <si>
    <t xml:space="preserve">Dieterich et al. (2020), Power-to-liquid via synthesis of methanol, DME or FT fuels, EES 13</t>
  </si>
  <si>
    <t xml:space="preserve">Voies PtL</t>
  </si>
  <si>
    <t xml:space="preserve">[200]</t>
  </si>
  <si>
    <t xml:space="preserve">Bisotti et al. (2023), DAC deployment: national context, Chem Eng Sci 282</t>
  </si>
  <si>
    <t xml:space="preserve">DAC Norvège</t>
  </si>
  <si>
    <t xml:space="preserve">[203]</t>
  </si>
  <si>
    <t xml:space="preserve">Schmidt &amp; Weindorf (2016), Power-to-Liquids, UBA</t>
  </si>
  <si>
    <t xml:space="preserve">Eau, PtL</t>
  </si>
  <si>
    <t xml:space="preserve">[207]</t>
  </si>
  <si>
    <t xml:space="preserve">Wang et al. (2023), Energetic and LCA of DAC</t>
  </si>
  <si>
    <t xml:space="preserve">Énergie DAC</t>
  </si>
  <si>
    <t xml:space="preserve">[216]</t>
  </si>
  <si>
    <t xml:space="preserve">Delgado et al. (2023), TEA/LCA e-fuels with nuclear, JCOU 72</t>
  </si>
  <si>
    <t xml:space="preserve">LCOE</t>
  </si>
  <si>
    <t xml:space="preserve">[230]</t>
  </si>
  <si>
    <t xml:space="preserve">Colelli et al. (2023), E-fuels: technical and economic analysis of synthetic kerosene precursor, ECM 288</t>
  </si>
  <si>
    <t xml:space="preserve">Coûts e-kérosène</t>
  </si>
  <si>
    <t xml:space="preserve">[247]</t>
  </si>
  <si>
    <t xml:space="preserve">Schmidt et al. (2018), Power-to-Liquids as renewable fuel option for aviation, Chem Ing Tech 90</t>
  </si>
  <si>
    <t xml:space="preserve">[248]</t>
  </si>
  <si>
    <t xml:space="preserve">Lester et al. (2020), Electrofuels in future energy systems: 2050 case study, Energy 199</t>
  </si>
  <si>
    <t xml:space="preserve">CAPEX/efficacité</t>
  </si>
  <si>
    <t xml:space="preserve">[256]</t>
  </si>
  <si>
    <t xml:space="preserve">Ravi et al. (2023), TEA of synthetic e-fuels from atmospheric CO2, ECM 291</t>
  </si>
  <si>
    <t xml:space="preserve">e-diesel, e-essence</t>
  </si>
  <si>
    <t xml:space="preserve">[307]</t>
  </si>
  <si>
    <t xml:space="preserve">Pfennig et al. (2023), Global GIS-based potential analysis of Power-to-X fuels in 2050, Appl Energy 347</t>
  </si>
  <si>
    <t xml:space="preserve">SIG PtX</t>
  </si>
  <si>
    <t xml:space="preserve">[318]</t>
  </si>
  <si>
    <t xml:space="preserve">Mehrara et al. (2025), Electrification-enabled FT liquids, Appl Energy 393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</si>
</sst>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#,##0.0"/>
    <numFmt numFmtId="167" formatCode="#,##0.00"/>
    <numFmt numFmtId="168" formatCode="0"/>
    <numFmt numFmtId="169" formatCode="0.0"/>
    <numFmt numFmtId="170" formatCode="0.0%"/>
    <numFmt numFmtId="171" formatCode="0.0000"/>
    <numFmt numFmtId="172" formatCode="0.00"/>
    <numFmt numFmtId="173" formatCode="0%"/>
    <numFmt numFmtId="174" formatCode="0.00000"/>
    <numFmt numFmtId="175" formatCode="0.000"/>
    <numFmt numFmtId="176" formatCode="0.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1F6F78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78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</row>
    <row r="5" customFormat="false" ht="45" hidden="false" customHeight="true" outlineLevel="0" collapsed="false">
      <c r="A5" s="4" t="s">
        <v>4</v>
      </c>
      <c r="B5" s="4" t="s">
        <v>5</v>
      </c>
    </row>
    <row r="6" customFormat="false" ht="45" hidden="false" customHeight="true" outlineLevel="0" collapsed="false">
      <c r="A6" s="5" t="s">
        <v>6</v>
      </c>
      <c r="B6" s="5" t="s">
        <v>7</v>
      </c>
    </row>
    <row r="7" customFormat="false" ht="45" hidden="false" customHeight="true" outlineLevel="0" collapsed="false">
      <c r="A7" s="4" t="s">
        <v>8</v>
      </c>
      <c r="B7" s="4" t="s">
        <v>9</v>
      </c>
    </row>
    <row r="8" customFormat="false" ht="45" hidden="false" customHeight="true" outlineLevel="0" collapsed="false">
      <c r="A8" s="5" t="s">
        <v>10</v>
      </c>
      <c r="B8" s="5" t="s">
        <v>11</v>
      </c>
    </row>
    <row r="9" customFormat="false" ht="45" hidden="false" customHeight="true" outlineLevel="0" collapsed="false">
      <c r="A9" s="4" t="s">
        <v>12</v>
      </c>
      <c r="B9" s="4" t="s">
        <v>13</v>
      </c>
    </row>
    <row r="10" customFormat="false" ht="45" hidden="false" customHeight="true" outlineLevel="0" collapsed="false">
      <c r="A10" s="5" t="s">
        <v>14</v>
      </c>
      <c r="B10" s="5" t="s">
        <v>15</v>
      </c>
    </row>
    <row r="11" customFormat="false" ht="45" hidden="false" customHeight="true" outlineLevel="0" collapsed="false">
      <c r="A11" s="4" t="s">
        <v>16</v>
      </c>
      <c r="B11" s="4" t="s">
        <v>17</v>
      </c>
    </row>
    <row r="13" customFormat="false" ht="15" hidden="false" customHeight="false" outlineLevel="0" collapsed="false">
      <c r="A13" s="6" t="s">
        <v>18</v>
      </c>
      <c r="B13" s="7"/>
    </row>
    <row r="14" customFormat="false" ht="31.5" hidden="false" customHeight="true" outlineLevel="0" collapsed="false">
      <c r="A14" s="3" t="s">
        <v>19</v>
      </c>
      <c r="B14" s="3" t="s">
        <v>20</v>
      </c>
    </row>
    <row r="15" customFormat="false" ht="15" hidden="false" customHeight="false" outlineLevel="0" collapsed="false">
      <c r="A15" s="4" t="s">
        <v>21</v>
      </c>
      <c r="B15" s="4" t="s">
        <v>22</v>
      </c>
    </row>
    <row r="16" customFormat="false" ht="15" hidden="false" customHeight="false" outlineLevel="0" collapsed="false">
      <c r="A16" s="5" t="s">
        <v>23</v>
      </c>
      <c r="B16" s="5" t="s">
        <v>24</v>
      </c>
    </row>
    <row r="17" customFormat="false" ht="15" hidden="false" customHeight="false" outlineLevel="0" collapsed="false">
      <c r="A17" s="4" t="s">
        <v>25</v>
      </c>
      <c r="B17" s="4" t="s">
        <v>26</v>
      </c>
    </row>
    <row r="18" customFormat="false" ht="15" hidden="false" customHeight="false" outlineLevel="0" collapsed="false">
      <c r="A18" s="5" t="s">
        <v>27</v>
      </c>
      <c r="B18" s="5" t="s">
        <v>28</v>
      </c>
    </row>
    <row r="19" customFormat="false" ht="15" hidden="false" customHeight="false" outlineLevel="0" collapsed="false">
      <c r="A19" s="4" t="s">
        <v>29</v>
      </c>
      <c r="B19" s="4" t="s">
        <v>30</v>
      </c>
    </row>
    <row r="20" customFormat="false" ht="15" hidden="false" customHeight="false" outlineLevel="0" collapsed="false">
      <c r="A20" s="5" t="s">
        <v>31</v>
      </c>
      <c r="B20" s="5" t="s">
        <v>32</v>
      </c>
    </row>
    <row r="21" customFormat="false" ht="15" hidden="false" customHeight="false" outlineLevel="0" collapsed="false">
      <c r="A21" s="4" t="s">
        <v>33</v>
      </c>
      <c r="B21" s="4" t="s">
        <v>34</v>
      </c>
    </row>
    <row r="22" customFormat="false" ht="15" hidden="false" customHeight="false" outlineLevel="0" collapsed="false">
      <c r="A22" s="5" t="s">
        <v>35</v>
      </c>
      <c r="B22" s="5" t="s">
        <v>36</v>
      </c>
    </row>
    <row r="23" customFormat="false" ht="15" hidden="false" customHeight="false" outlineLevel="0" collapsed="false">
      <c r="A23" s="4" t="s">
        <v>37</v>
      </c>
      <c r="B23" s="4" t="s">
        <v>38</v>
      </c>
    </row>
    <row r="24" customFormat="false" ht="15" hidden="false" customHeight="false" outlineLevel="0" collapsed="false">
      <c r="A24" s="5" t="s">
        <v>39</v>
      </c>
      <c r="B24" s="5" t="s">
        <v>40</v>
      </c>
    </row>
    <row r="25" customFormat="false" ht="15" hidden="false" customHeight="false" outlineLevel="0" collapsed="false">
      <c r="A25" s="4" t="s">
        <v>41</v>
      </c>
      <c r="B25" s="4" t="s">
        <v>42</v>
      </c>
    </row>
    <row r="26" customFormat="false" ht="15" hidden="false" customHeight="false" outlineLevel="0" collapsed="false">
      <c r="A26" s="5" t="s">
        <v>43</v>
      </c>
      <c r="B26" s="5" t="s">
        <v>44</v>
      </c>
    </row>
    <row r="27" customFormat="false" ht="15" hidden="false" customHeight="false" outlineLevel="0" collapsed="false">
      <c r="A27" s="4" t="s">
        <v>45</v>
      </c>
      <c r="B27" s="4" t="s">
        <v>46</v>
      </c>
    </row>
    <row r="28" customFormat="false" ht="15" hidden="false" customHeight="false" outlineLevel="0" collapsed="false">
      <c r="A28" s="5" t="s">
        <v>47</v>
      </c>
      <c r="B28" s="5" t="s">
        <v>48</v>
      </c>
    </row>
    <row r="29" customFormat="false" ht="15" hidden="false" customHeight="false" outlineLevel="0" collapsed="false">
      <c r="A29" s="4" t="s">
        <v>49</v>
      </c>
      <c r="B29" s="4" t="s">
        <v>50</v>
      </c>
    </row>
    <row r="30" customFormat="false" ht="15" hidden="false" customHeight="false" outlineLevel="0" collapsed="false">
      <c r="A30" s="5" t="s">
        <v>51</v>
      </c>
      <c r="B30" s="5" t="s">
        <v>52</v>
      </c>
    </row>
    <row r="31" customFormat="false" ht="15" hidden="false" customHeight="false" outlineLevel="0" collapsed="false">
      <c r="A31" s="4" t="s">
        <v>53</v>
      </c>
      <c r="B31" s="4" t="s">
        <v>54</v>
      </c>
    </row>
    <row r="32" customFormat="false" ht="15" hidden="false" customHeight="false" outlineLevel="0" collapsed="false">
      <c r="A32" s="5" t="s">
        <v>55</v>
      </c>
      <c r="B32" s="5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  <col collapsed="false" customWidth="true" hidden="false" outlineLevel="0" max="4" min="3" style="0" width="28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31.5" hidden="false" customHeight="true" outlineLevel="0" collapsed="false">
      <c r="A4" s="3" t="s">
        <v>59</v>
      </c>
      <c r="B4" s="3" t="s">
        <v>60</v>
      </c>
      <c r="C4" s="3" t="s">
        <v>61</v>
      </c>
      <c r="D4" s="3" t="s">
        <v>62</v>
      </c>
    </row>
    <row r="5" customFormat="false" ht="15" hidden="false" customHeight="false" outlineLevel="0" collapsed="false">
      <c r="A5" s="4" t="s">
        <v>63</v>
      </c>
      <c r="B5" s="4" t="s">
        <v>64</v>
      </c>
      <c r="C5" s="4" t="s">
        <v>65</v>
      </c>
      <c r="D5" s="4" t="s">
        <v>66</v>
      </c>
    </row>
    <row r="6" customFormat="false" ht="23.85" hidden="false" customHeight="false" outlineLevel="0" collapsed="false">
      <c r="A6" s="5" t="s">
        <v>63</v>
      </c>
      <c r="B6" s="5" t="s">
        <v>67</v>
      </c>
      <c r="C6" s="5" t="s">
        <v>68</v>
      </c>
      <c r="D6" s="5" t="s">
        <v>69</v>
      </c>
    </row>
    <row r="7" customFormat="false" ht="23.85" hidden="false" customHeight="false" outlineLevel="0" collapsed="false">
      <c r="A7" s="4" t="s">
        <v>70</v>
      </c>
      <c r="B7" s="4" t="s">
        <v>71</v>
      </c>
      <c r="C7" s="4" t="s">
        <v>72</v>
      </c>
      <c r="D7" s="4" t="s">
        <v>73</v>
      </c>
    </row>
    <row r="8" customFormat="false" ht="15" hidden="false" customHeight="false" outlineLevel="0" collapsed="false">
      <c r="A8" s="5" t="s">
        <v>74</v>
      </c>
      <c r="B8" s="5" t="s">
        <v>75</v>
      </c>
      <c r="C8" s="5" t="s">
        <v>76</v>
      </c>
      <c r="D8" s="5" t="s">
        <v>77</v>
      </c>
    </row>
    <row r="9" customFormat="false" ht="15" hidden="false" customHeight="false" outlineLevel="0" collapsed="false">
      <c r="A9" s="4" t="s">
        <v>78</v>
      </c>
      <c r="B9" s="4" t="s">
        <v>79</v>
      </c>
      <c r="C9" s="4" t="s">
        <v>80</v>
      </c>
      <c r="D9" s="4" t="s">
        <v>77</v>
      </c>
    </row>
    <row r="10" customFormat="false" ht="23.85" hidden="false" customHeight="false" outlineLevel="0" collapsed="false">
      <c r="A10" s="5" t="s">
        <v>81</v>
      </c>
      <c r="B10" s="5" t="s">
        <v>82</v>
      </c>
      <c r="C10" s="5" t="s">
        <v>83</v>
      </c>
      <c r="D10" s="5" t="s">
        <v>84</v>
      </c>
    </row>
    <row r="11" customFormat="false" ht="15" hidden="false" customHeight="false" outlineLevel="0" collapsed="false">
      <c r="A11" s="4" t="s">
        <v>85</v>
      </c>
      <c r="B11" s="4" t="s">
        <v>86</v>
      </c>
      <c r="C11" s="4" t="s">
        <v>87</v>
      </c>
      <c r="D11" s="4" t="s">
        <v>88</v>
      </c>
    </row>
    <row r="12" customFormat="false" ht="23.85" hidden="false" customHeight="false" outlineLevel="0" collapsed="false">
      <c r="A12" s="5" t="s">
        <v>89</v>
      </c>
      <c r="B12" s="5" t="s">
        <v>90</v>
      </c>
      <c r="C12" s="5" t="s">
        <v>91</v>
      </c>
      <c r="D12" s="5" t="s">
        <v>92</v>
      </c>
    </row>
    <row r="13" customFormat="false" ht="15" hidden="false" customHeight="false" outlineLevel="0" collapsed="false">
      <c r="A13" s="4" t="s">
        <v>93</v>
      </c>
      <c r="B13" s="4" t="s">
        <v>94</v>
      </c>
      <c r="C13" s="4" t="s">
        <v>95</v>
      </c>
      <c r="D13" s="4" t="s">
        <v>96</v>
      </c>
    </row>
    <row r="14" customFormat="false" ht="15" hidden="false" customHeight="false" outlineLevel="0" collapsed="false">
      <c r="A14" s="5" t="s">
        <v>97</v>
      </c>
      <c r="B14" s="5" t="s">
        <v>98</v>
      </c>
      <c r="C14" s="5" t="s">
        <v>99</v>
      </c>
      <c r="D14" s="5" t="s">
        <v>100</v>
      </c>
    </row>
    <row r="15" customFormat="false" ht="15" hidden="false" customHeight="false" outlineLevel="0" collapsed="false">
      <c r="A15" s="4" t="s">
        <v>101</v>
      </c>
      <c r="B15" s="4" t="s">
        <v>102</v>
      </c>
      <c r="C15" s="4" t="s">
        <v>103</v>
      </c>
      <c r="D15" s="4" t="s">
        <v>104</v>
      </c>
    </row>
    <row r="16" customFormat="false" ht="23.85" hidden="false" customHeight="false" outlineLevel="0" collapsed="false">
      <c r="A16" s="5" t="s">
        <v>105</v>
      </c>
      <c r="B16" s="5" t="s">
        <v>106</v>
      </c>
      <c r="C16" s="5" t="s">
        <v>107</v>
      </c>
      <c r="D16" s="5" t="s">
        <v>108</v>
      </c>
    </row>
    <row r="17" customFormat="false" ht="23.85" hidden="false" customHeight="false" outlineLevel="0" collapsed="false">
      <c r="A17" s="4" t="s">
        <v>109</v>
      </c>
      <c r="B17" s="4" t="s">
        <v>110</v>
      </c>
      <c r="C17" s="4" t="s">
        <v>111</v>
      </c>
      <c r="D17" s="4" t="s">
        <v>112</v>
      </c>
    </row>
    <row r="18" customFormat="false" ht="15" hidden="false" customHeight="false" outlineLevel="0" collapsed="false">
      <c r="A18" s="5" t="s">
        <v>113</v>
      </c>
      <c r="B18" s="5" t="s">
        <v>114</v>
      </c>
      <c r="C18" s="5" t="s">
        <v>115</v>
      </c>
      <c r="D18" s="5" t="s">
        <v>116</v>
      </c>
    </row>
    <row r="19" customFormat="false" ht="23.85" hidden="false" customHeight="false" outlineLevel="0" collapsed="false">
      <c r="A19" s="4" t="s">
        <v>117</v>
      </c>
      <c r="B19" s="4" t="s">
        <v>118</v>
      </c>
      <c r="C19" s="4" t="s">
        <v>119</v>
      </c>
      <c r="D19" s="4" t="s">
        <v>120</v>
      </c>
    </row>
    <row r="20" customFormat="false" ht="23.85" hidden="false" customHeight="false" outlineLevel="0" collapsed="false">
      <c r="A20" s="5" t="s">
        <v>121</v>
      </c>
      <c r="B20" s="5" t="s">
        <v>122</v>
      </c>
      <c r="C20" s="5" t="s">
        <v>123</v>
      </c>
      <c r="D20" s="5" t="s">
        <v>124</v>
      </c>
    </row>
    <row r="21" customFormat="false" ht="15" hidden="false" customHeight="false" outlineLevel="0" collapsed="false">
      <c r="A21" s="4" t="s">
        <v>125</v>
      </c>
      <c r="B21" s="4" t="s">
        <v>126</v>
      </c>
      <c r="C21" s="4" t="s">
        <v>127</v>
      </c>
      <c r="D21" s="4" t="s">
        <v>128</v>
      </c>
    </row>
    <row r="22" customFormat="false" ht="15" hidden="false" customHeight="false" outlineLevel="0" collapsed="false">
      <c r="A22" s="5" t="s">
        <v>129</v>
      </c>
      <c r="B22" s="5" t="s">
        <v>130</v>
      </c>
      <c r="C22" s="5" t="s">
        <v>131</v>
      </c>
      <c r="D22" s="5" t="s">
        <v>120</v>
      </c>
    </row>
    <row r="23" customFormat="false" ht="23.85" hidden="false" customHeight="false" outlineLevel="0" collapsed="false">
      <c r="A23" s="4" t="s">
        <v>132</v>
      </c>
      <c r="B23" s="4" t="s">
        <v>133</v>
      </c>
      <c r="C23" s="4" t="s">
        <v>134</v>
      </c>
      <c r="D23" s="4" t="s">
        <v>135</v>
      </c>
    </row>
    <row r="24" customFormat="false" ht="23.85" hidden="false" customHeight="false" outlineLevel="0" collapsed="false">
      <c r="A24" s="5" t="s">
        <v>136</v>
      </c>
      <c r="B24" s="5" t="s">
        <v>137</v>
      </c>
      <c r="C24" s="5" t="s">
        <v>138</v>
      </c>
      <c r="D24" s="5" t="s">
        <v>139</v>
      </c>
    </row>
    <row r="25" customFormat="false" ht="23.85" hidden="false" customHeight="false" outlineLevel="0" collapsed="false">
      <c r="A25" s="4" t="s">
        <v>140</v>
      </c>
      <c r="B25" s="4" t="s">
        <v>141</v>
      </c>
      <c r="C25" s="4" t="s">
        <v>115</v>
      </c>
      <c r="D25" s="4" t="s">
        <v>142</v>
      </c>
    </row>
    <row r="26" customFormat="false" ht="23.85" hidden="false" customHeight="false" outlineLevel="0" collapsed="false">
      <c r="A26" s="5" t="s">
        <v>143</v>
      </c>
      <c r="B26" s="5" t="s">
        <v>144</v>
      </c>
      <c r="C26" s="5" t="s">
        <v>115</v>
      </c>
      <c r="D26" s="5" t="s">
        <v>145</v>
      </c>
    </row>
    <row r="27" customFormat="false" ht="15" hidden="false" customHeight="false" outlineLevel="0" collapsed="false">
      <c r="A27" s="4" t="s">
        <v>146</v>
      </c>
      <c r="B27" s="4" t="s">
        <v>147</v>
      </c>
      <c r="C27" s="4" t="s">
        <v>148</v>
      </c>
      <c r="D27" s="4" t="s">
        <v>149</v>
      </c>
    </row>
    <row r="28" customFormat="false" ht="15" hidden="false" customHeight="false" outlineLevel="0" collapsed="false">
      <c r="A28" s="5" t="s">
        <v>150</v>
      </c>
      <c r="B28" s="5" t="s">
        <v>151</v>
      </c>
      <c r="C28" s="5" t="s">
        <v>152</v>
      </c>
      <c r="D28" s="5" t="s">
        <v>153</v>
      </c>
    </row>
    <row r="29" customFormat="false" ht="15" hidden="false" customHeight="false" outlineLevel="0" collapsed="false">
      <c r="A29" s="4" t="s">
        <v>154</v>
      </c>
      <c r="B29" s="4" t="s">
        <v>155</v>
      </c>
      <c r="C29" s="4" t="s">
        <v>156</v>
      </c>
      <c r="D29" s="4" t="s">
        <v>157</v>
      </c>
    </row>
    <row r="30" customFormat="false" ht="15" hidden="false" customHeight="false" outlineLevel="0" collapsed="false">
      <c r="A30" s="5" t="s">
        <v>158</v>
      </c>
      <c r="B30" s="5" t="s">
        <v>159</v>
      </c>
      <c r="C30" s="5" t="s">
        <v>115</v>
      </c>
      <c r="D30" s="5" t="s">
        <v>139</v>
      </c>
    </row>
    <row r="31" customFormat="false" ht="23.85" hidden="false" customHeight="false" outlineLevel="0" collapsed="false">
      <c r="A31" s="4" t="s">
        <v>160</v>
      </c>
      <c r="B31" s="4" t="s">
        <v>161</v>
      </c>
      <c r="C31" s="4" t="s">
        <v>162</v>
      </c>
      <c r="D31" s="4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6" min="5" style="0" width="20"/>
    <col collapsed="false" customWidth="true" hidden="false" outlineLevel="0" max="7" min="7" style="0" width="34"/>
    <col collapsed="false" customWidth="true" hidden="false" outlineLevel="0" max="8" min="8" style="0" width="36"/>
    <col collapsed="false" customWidth="true" hidden="false" outlineLevel="0" max="9" min="9" style="0" width="32"/>
    <col collapsed="false" customWidth="true" hidden="false" outlineLevel="0" max="10" min="10" style="0" width="46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31.5" hidden="false" customHeight="true" outlineLevel="0" collapsed="false">
      <c r="A4" s="3" t="s">
        <v>166</v>
      </c>
      <c r="B4" s="3" t="s">
        <v>167</v>
      </c>
      <c r="C4" s="3" t="s">
        <v>168</v>
      </c>
      <c r="D4" s="3" t="s">
        <v>169</v>
      </c>
      <c r="E4" s="3" t="s">
        <v>170</v>
      </c>
      <c r="F4" s="3" t="s">
        <v>171</v>
      </c>
      <c r="G4" s="3" t="s">
        <v>172</v>
      </c>
      <c r="H4" s="3" t="s">
        <v>173</v>
      </c>
      <c r="I4" s="3" t="s">
        <v>25</v>
      </c>
      <c r="J4" s="3" t="s">
        <v>174</v>
      </c>
      <c r="K4" s="3" t="s">
        <v>62</v>
      </c>
    </row>
    <row r="5" customFormat="false" ht="23.85" hidden="false" customHeight="false" outlineLevel="0" collapsed="false">
      <c r="A5" s="4" t="s">
        <v>175</v>
      </c>
      <c r="B5" s="4" t="s">
        <v>176</v>
      </c>
      <c r="C5" s="4" t="s">
        <v>177</v>
      </c>
      <c r="D5" s="4" t="s">
        <v>178</v>
      </c>
      <c r="E5" s="4" t="s">
        <v>179</v>
      </c>
      <c r="F5" s="4" t="s">
        <v>180</v>
      </c>
      <c r="G5" s="4" t="s">
        <v>181</v>
      </c>
      <c r="H5" s="4" t="s">
        <v>182</v>
      </c>
      <c r="I5" s="4" t="s">
        <v>183</v>
      </c>
      <c r="J5" s="4" t="s">
        <v>184</v>
      </c>
      <c r="K5" s="4" t="s">
        <v>185</v>
      </c>
    </row>
    <row r="6" customFormat="false" ht="15" hidden="false" customHeight="false" outlineLevel="0" collapsed="false">
      <c r="A6" s="5" t="s">
        <v>186</v>
      </c>
      <c r="B6" s="5" t="s">
        <v>187</v>
      </c>
      <c r="C6" s="5" t="s">
        <v>188</v>
      </c>
      <c r="D6" s="5" t="s">
        <v>189</v>
      </c>
      <c r="E6" s="5" t="s">
        <v>190</v>
      </c>
      <c r="F6" s="5" t="s">
        <v>190</v>
      </c>
      <c r="G6" s="5" t="s">
        <v>191</v>
      </c>
      <c r="H6" s="5" t="s">
        <v>115</v>
      </c>
      <c r="I6" s="5" t="s">
        <v>192</v>
      </c>
      <c r="J6" s="5" t="s">
        <v>193</v>
      </c>
      <c r="K6" s="5" t="s">
        <v>194</v>
      </c>
    </row>
    <row r="7" customFormat="false" ht="35.05" hidden="false" customHeight="false" outlineLevel="0" collapsed="false">
      <c r="A7" s="4" t="s">
        <v>186</v>
      </c>
      <c r="B7" s="4" t="s">
        <v>195</v>
      </c>
      <c r="C7" s="4" t="s">
        <v>196</v>
      </c>
      <c r="D7" s="4" t="s">
        <v>197</v>
      </c>
      <c r="E7" s="4" t="s">
        <v>198</v>
      </c>
      <c r="F7" s="4" t="s">
        <v>199</v>
      </c>
      <c r="G7" s="4" t="s">
        <v>200</v>
      </c>
      <c r="H7" s="4" t="s">
        <v>201</v>
      </c>
      <c r="I7" s="4" t="s">
        <v>202</v>
      </c>
      <c r="J7" s="4" t="s">
        <v>203</v>
      </c>
      <c r="K7" s="4" t="s">
        <v>204</v>
      </c>
    </row>
    <row r="8" customFormat="false" ht="23.85" hidden="false" customHeight="false" outlineLevel="0" collapsed="false">
      <c r="A8" s="5" t="s">
        <v>205</v>
      </c>
      <c r="B8" s="5" t="s">
        <v>206</v>
      </c>
      <c r="C8" s="5" t="s">
        <v>207</v>
      </c>
      <c r="D8" s="5" t="s">
        <v>190</v>
      </c>
      <c r="E8" s="5" t="s">
        <v>190</v>
      </c>
      <c r="F8" s="5" t="s">
        <v>190</v>
      </c>
      <c r="G8" s="5" t="s">
        <v>208</v>
      </c>
      <c r="H8" s="5" t="s">
        <v>115</v>
      </c>
      <c r="I8" s="5" t="s">
        <v>209</v>
      </c>
      <c r="J8" s="5" t="s">
        <v>210</v>
      </c>
      <c r="K8" s="5" t="s">
        <v>211</v>
      </c>
    </row>
    <row r="9" customFormat="false" ht="23.85" hidden="false" customHeight="false" outlineLevel="0" collapsed="false">
      <c r="A9" s="4" t="s">
        <v>212</v>
      </c>
      <c r="B9" s="4" t="s">
        <v>213</v>
      </c>
      <c r="C9" s="4" t="s">
        <v>214</v>
      </c>
      <c r="D9" s="4" t="s">
        <v>215</v>
      </c>
      <c r="E9" s="4" t="s">
        <v>216</v>
      </c>
      <c r="F9" s="4" t="s">
        <v>217</v>
      </c>
      <c r="G9" s="4" t="s">
        <v>218</v>
      </c>
      <c r="H9" s="4" t="s">
        <v>219</v>
      </c>
      <c r="I9" s="4" t="s">
        <v>220</v>
      </c>
      <c r="J9" s="4" t="s">
        <v>221</v>
      </c>
      <c r="K9" s="4" t="s">
        <v>222</v>
      </c>
    </row>
    <row r="10" customFormat="false" ht="15" hidden="false" customHeight="false" outlineLevel="0" collapsed="false">
      <c r="A10" s="5" t="s">
        <v>212</v>
      </c>
      <c r="B10" s="5" t="s">
        <v>223</v>
      </c>
      <c r="C10" s="5" t="s">
        <v>188</v>
      </c>
      <c r="D10" s="5" t="s">
        <v>224</v>
      </c>
      <c r="E10" s="5" t="s">
        <v>216</v>
      </c>
      <c r="F10" s="5" t="s">
        <v>217</v>
      </c>
      <c r="G10" s="5" t="s">
        <v>225</v>
      </c>
      <c r="H10" s="5" t="s">
        <v>115</v>
      </c>
      <c r="I10" s="5" t="s">
        <v>115</v>
      </c>
      <c r="J10" s="5" t="s">
        <v>226</v>
      </c>
      <c r="K10" s="5" t="s">
        <v>222</v>
      </c>
    </row>
    <row r="11" customFormat="false" ht="15" hidden="false" customHeight="false" outlineLevel="0" collapsed="false">
      <c r="A11" s="4" t="s">
        <v>212</v>
      </c>
      <c r="B11" s="4" t="s">
        <v>227</v>
      </c>
      <c r="C11" s="4" t="s">
        <v>228</v>
      </c>
      <c r="D11" s="4" t="s">
        <v>229</v>
      </c>
      <c r="E11" s="4" t="s">
        <v>216</v>
      </c>
      <c r="F11" s="4" t="s">
        <v>217</v>
      </c>
      <c r="G11" s="4" t="s">
        <v>225</v>
      </c>
      <c r="H11" s="4" t="s">
        <v>230</v>
      </c>
      <c r="I11" s="4" t="s">
        <v>220</v>
      </c>
      <c r="J11" s="4" t="s">
        <v>231</v>
      </c>
      <c r="K11" s="4" t="s">
        <v>222</v>
      </c>
    </row>
    <row r="12" customFormat="false" ht="23.85" hidden="false" customHeight="false" outlineLevel="0" collapsed="false">
      <c r="A12" s="5" t="s">
        <v>232</v>
      </c>
      <c r="B12" s="5" t="s">
        <v>233</v>
      </c>
      <c r="C12" s="5" t="s">
        <v>234</v>
      </c>
      <c r="D12" s="5" t="s">
        <v>190</v>
      </c>
      <c r="E12" s="5" t="s">
        <v>235</v>
      </c>
      <c r="F12" s="5" t="s">
        <v>190</v>
      </c>
      <c r="G12" s="5" t="s">
        <v>236</v>
      </c>
      <c r="H12" s="5" t="s">
        <v>115</v>
      </c>
      <c r="I12" s="5" t="s">
        <v>237</v>
      </c>
      <c r="J12" s="5" t="s">
        <v>238</v>
      </c>
      <c r="K12" s="5" t="s">
        <v>222</v>
      </c>
    </row>
    <row r="13" customFormat="false" ht="23.85" hidden="false" customHeight="false" outlineLevel="0" collapsed="false">
      <c r="A13" s="4" t="s">
        <v>239</v>
      </c>
      <c r="B13" s="4" t="s">
        <v>240</v>
      </c>
      <c r="C13" s="4" t="s">
        <v>207</v>
      </c>
      <c r="D13" s="4" t="s">
        <v>190</v>
      </c>
      <c r="E13" s="4" t="s">
        <v>190</v>
      </c>
      <c r="F13" s="4" t="s">
        <v>190</v>
      </c>
      <c r="G13" s="4" t="s">
        <v>241</v>
      </c>
      <c r="H13" s="4" t="s">
        <v>115</v>
      </c>
      <c r="I13" s="4" t="s">
        <v>209</v>
      </c>
      <c r="J13" s="4" t="s">
        <v>242</v>
      </c>
      <c r="K13" s="4" t="s">
        <v>222</v>
      </c>
    </row>
    <row r="14" customFormat="false" ht="23.85" hidden="false" customHeight="false" outlineLevel="0" collapsed="false">
      <c r="A14" s="5" t="s">
        <v>243</v>
      </c>
      <c r="B14" s="5" t="s">
        <v>244</v>
      </c>
      <c r="C14" s="5" t="s">
        <v>245</v>
      </c>
      <c r="D14" s="5" t="s">
        <v>190</v>
      </c>
      <c r="E14" s="5" t="s">
        <v>246</v>
      </c>
      <c r="F14" s="5" t="s">
        <v>247</v>
      </c>
      <c r="G14" s="5" t="s">
        <v>248</v>
      </c>
      <c r="H14" s="5" t="s">
        <v>249</v>
      </c>
      <c r="I14" s="5" t="s">
        <v>250</v>
      </c>
      <c r="J14" s="5" t="s">
        <v>251</v>
      </c>
      <c r="K14" s="5" t="s">
        <v>252</v>
      </c>
    </row>
    <row r="15" customFormat="false" ht="23.85" hidden="false" customHeight="false" outlineLevel="0" collapsed="false">
      <c r="A15" s="4" t="s">
        <v>253</v>
      </c>
      <c r="B15" s="4" t="s">
        <v>254</v>
      </c>
      <c r="C15" s="4" t="s">
        <v>255</v>
      </c>
      <c r="D15" s="4" t="s">
        <v>190</v>
      </c>
      <c r="E15" s="4" t="s">
        <v>256</v>
      </c>
      <c r="F15" s="4" t="s">
        <v>257</v>
      </c>
      <c r="G15" s="4" t="s">
        <v>258</v>
      </c>
      <c r="H15" s="4" t="s">
        <v>259</v>
      </c>
      <c r="I15" s="4" t="s">
        <v>260</v>
      </c>
      <c r="J15" s="4" t="s">
        <v>261</v>
      </c>
      <c r="K15" s="4" t="s">
        <v>96</v>
      </c>
    </row>
    <row r="16" customFormat="false" ht="35.05" hidden="false" customHeight="false" outlineLevel="0" collapsed="false">
      <c r="A16" s="5" t="s">
        <v>262</v>
      </c>
      <c r="B16" s="5" t="s">
        <v>263</v>
      </c>
      <c r="C16" s="5" t="s">
        <v>264</v>
      </c>
      <c r="D16" s="5" t="s">
        <v>265</v>
      </c>
      <c r="E16" s="5" t="s">
        <v>266</v>
      </c>
      <c r="F16" s="5" t="s">
        <v>267</v>
      </c>
      <c r="G16" s="5" t="s">
        <v>268</v>
      </c>
      <c r="H16" s="5" t="s">
        <v>269</v>
      </c>
      <c r="I16" s="5" t="s">
        <v>270</v>
      </c>
      <c r="J16" s="5" t="s">
        <v>271</v>
      </c>
      <c r="K16" s="5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5" min="4" style="0" width="34"/>
    <col collapsed="false" customWidth="true" hidden="false" outlineLevel="0" max="7" min="6" style="0" width="13"/>
    <col collapsed="false" customWidth="true" hidden="false" outlineLevel="0" max="9" min="8" style="0" width="22"/>
    <col collapsed="false" customWidth="true" hidden="false" outlineLevel="0" max="10" min="10" style="0" width="14"/>
    <col collapsed="false" customWidth="true" hidden="false" outlineLevel="0" max="11" min="11" style="0" width="5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273</v>
      </c>
    </row>
    <row r="2" customFormat="false" ht="15" hidden="false" customHeight="false" outlineLevel="0" collapsed="false">
      <c r="A2" s="2" t="s">
        <v>274</v>
      </c>
    </row>
    <row r="4" customFormat="false" ht="31.5" hidden="false" customHeight="true" outlineLevel="0" collapsed="false">
      <c r="A4" s="3" t="s">
        <v>275</v>
      </c>
      <c r="B4" s="3" t="s">
        <v>166</v>
      </c>
      <c r="C4" s="3" t="s">
        <v>276</v>
      </c>
      <c r="D4" s="3" t="s">
        <v>277</v>
      </c>
      <c r="E4" s="3" t="s">
        <v>278</v>
      </c>
      <c r="F4" s="3" t="s">
        <v>279</v>
      </c>
      <c r="G4" s="3" t="s">
        <v>280</v>
      </c>
      <c r="H4" s="3" t="s">
        <v>281</v>
      </c>
      <c r="I4" s="3" t="s">
        <v>282</v>
      </c>
      <c r="J4" s="3" t="s">
        <v>283</v>
      </c>
      <c r="K4" s="3" t="s">
        <v>284</v>
      </c>
      <c r="L4" s="3" t="s">
        <v>62</v>
      </c>
    </row>
    <row r="5" customFormat="false" ht="35.05" hidden="false" customHeight="false" outlineLevel="0" collapsed="false">
      <c r="A5" s="4" t="s">
        <v>285</v>
      </c>
      <c r="B5" s="4" t="s">
        <v>286</v>
      </c>
      <c r="C5" s="4" t="s">
        <v>287</v>
      </c>
      <c r="D5" s="4" t="s">
        <v>288</v>
      </c>
      <c r="E5" s="4" t="s">
        <v>289</v>
      </c>
      <c r="F5" s="8" t="n">
        <v>3062</v>
      </c>
      <c r="G5" s="8" t="n">
        <v>4215</v>
      </c>
      <c r="H5" s="4" t="s">
        <v>290</v>
      </c>
      <c r="I5" s="4" t="s">
        <v>190</v>
      </c>
      <c r="J5" s="4" t="s">
        <v>291</v>
      </c>
      <c r="K5" s="4" t="s">
        <v>292</v>
      </c>
      <c r="L5" s="4" t="s">
        <v>293</v>
      </c>
    </row>
    <row r="6" customFormat="false" ht="23.85" hidden="false" customHeight="false" outlineLevel="0" collapsed="false">
      <c r="A6" s="5" t="s">
        <v>294</v>
      </c>
      <c r="B6" s="5" t="s">
        <v>295</v>
      </c>
      <c r="C6" s="5" t="s">
        <v>296</v>
      </c>
      <c r="D6" s="5" t="s">
        <v>297</v>
      </c>
      <c r="E6" s="5" t="s">
        <v>298</v>
      </c>
      <c r="F6" s="9" t="n">
        <v>3400</v>
      </c>
      <c r="G6" s="9" t="n">
        <v>3520</v>
      </c>
      <c r="H6" s="5" t="s">
        <v>190</v>
      </c>
      <c r="I6" s="5" t="s">
        <v>190</v>
      </c>
      <c r="J6" s="5" t="s">
        <v>291</v>
      </c>
      <c r="K6" s="5" t="s">
        <v>299</v>
      </c>
      <c r="L6" s="5" t="s">
        <v>88</v>
      </c>
    </row>
    <row r="7" customFormat="false" ht="23.85" hidden="false" customHeight="false" outlineLevel="0" collapsed="false">
      <c r="A7" s="4" t="s">
        <v>220</v>
      </c>
      <c r="B7" s="4" t="s">
        <v>300</v>
      </c>
      <c r="C7" s="4" t="s">
        <v>301</v>
      </c>
      <c r="D7" s="4" t="s">
        <v>302</v>
      </c>
      <c r="E7" s="4" t="s">
        <v>303</v>
      </c>
      <c r="F7" s="8" t="n">
        <v>3208</v>
      </c>
      <c r="G7" s="8" t="n">
        <v>3409</v>
      </c>
      <c r="H7" s="4" t="s">
        <v>304</v>
      </c>
      <c r="I7" s="4" t="s">
        <v>305</v>
      </c>
      <c r="J7" s="4" t="s">
        <v>306</v>
      </c>
      <c r="K7" s="4" t="s">
        <v>307</v>
      </c>
      <c r="L7" s="4" t="s">
        <v>92</v>
      </c>
    </row>
    <row r="8" customFormat="false" ht="23.85" hidden="false" customHeight="false" outlineLevel="0" collapsed="false">
      <c r="A8" s="5" t="s">
        <v>250</v>
      </c>
      <c r="B8" s="5" t="s">
        <v>308</v>
      </c>
      <c r="C8" s="5" t="s">
        <v>309</v>
      </c>
      <c r="D8" s="5" t="s">
        <v>310</v>
      </c>
      <c r="E8" s="5" t="s">
        <v>290</v>
      </c>
      <c r="F8" s="10"/>
      <c r="G8" s="10"/>
      <c r="H8" s="5" t="s">
        <v>304</v>
      </c>
      <c r="I8" s="5" t="s">
        <v>305</v>
      </c>
      <c r="J8" s="5" t="s">
        <v>306</v>
      </c>
      <c r="K8" s="5" t="s">
        <v>311</v>
      </c>
      <c r="L8" s="5" t="s">
        <v>252</v>
      </c>
    </row>
    <row r="9" customFormat="false" ht="23.85" hidden="false" customHeight="false" outlineLevel="0" collapsed="false">
      <c r="A9" s="4" t="s">
        <v>260</v>
      </c>
      <c r="B9" s="4" t="s">
        <v>312</v>
      </c>
      <c r="C9" s="4" t="s">
        <v>313</v>
      </c>
      <c r="D9" s="4" t="s">
        <v>314</v>
      </c>
      <c r="E9" s="4" t="s">
        <v>315</v>
      </c>
      <c r="F9" s="11"/>
      <c r="G9" s="11"/>
      <c r="H9" s="4" t="s">
        <v>316</v>
      </c>
      <c r="I9" s="4" t="s">
        <v>317</v>
      </c>
      <c r="J9" s="4" t="s">
        <v>318</v>
      </c>
      <c r="K9" s="4" t="s">
        <v>319</v>
      </c>
      <c r="L9" s="4" t="s">
        <v>96</v>
      </c>
    </row>
    <row r="10" customFormat="false" ht="23.85" hidden="false" customHeight="false" outlineLevel="0" collapsed="false">
      <c r="A10" s="5" t="s">
        <v>270</v>
      </c>
      <c r="B10" s="5" t="s">
        <v>320</v>
      </c>
      <c r="C10" s="5" t="s">
        <v>321</v>
      </c>
      <c r="D10" s="5" t="s">
        <v>322</v>
      </c>
      <c r="E10" s="5" t="s">
        <v>323</v>
      </c>
      <c r="F10" s="10"/>
      <c r="G10" s="10"/>
      <c r="H10" s="5" t="s">
        <v>324</v>
      </c>
      <c r="I10" s="5" t="s">
        <v>325</v>
      </c>
      <c r="J10" s="5" t="s">
        <v>326</v>
      </c>
      <c r="K10" s="5" t="s">
        <v>327</v>
      </c>
      <c r="L10" s="5" t="s">
        <v>100</v>
      </c>
    </row>
    <row r="12" customFormat="false" ht="15" hidden="false" customHeight="false" outlineLevel="0" collapsed="false">
      <c r="A12" s="6" t="s">
        <v>328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customFormat="false" ht="15" hidden="false" customHeight="false" outlineLevel="0" collapsed="false">
      <c r="A13" s="12" t="s">
        <v>329</v>
      </c>
      <c r="B13" s="13" t="n">
        <v>3.24</v>
      </c>
    </row>
    <row r="14" customFormat="false" ht="15" hidden="false" customHeight="false" outlineLevel="0" collapsed="false">
      <c r="A14" s="12" t="s">
        <v>330</v>
      </c>
      <c r="B14" s="14" t="n">
        <v>0.745</v>
      </c>
    </row>
    <row r="15" customFormat="false" ht="15" hidden="false" customHeight="false" outlineLevel="0" collapsed="false">
      <c r="A15" s="12" t="s">
        <v>331</v>
      </c>
      <c r="B15" s="14" t="n">
        <v>0.92</v>
      </c>
    </row>
    <row r="16" customFormat="false" ht="15" hidden="false" customHeight="false" outlineLevel="0" collapsed="false">
      <c r="A16" s="12" t="s">
        <v>332</v>
      </c>
      <c r="B16" s="15" t="n">
        <f aca="false">B13/B14*1000*B15</f>
        <v>4001.07382550336</v>
      </c>
    </row>
    <row r="17" customFormat="false" ht="15" hidden="false" customHeight="false" outlineLevel="0" collapsed="false">
      <c r="A17" s="16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  <col collapsed="false" customWidth="true" hidden="false" outlineLevel="0" max="5" min="5" style="0" width="60"/>
    <col collapsed="false" customWidth="true" hidden="false" outlineLevel="0" max="9" min="6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334</v>
      </c>
    </row>
    <row r="2" customFormat="false" ht="15" hidden="false" customHeight="false" outlineLevel="0" collapsed="false">
      <c r="A2" s="2" t="s">
        <v>335</v>
      </c>
    </row>
    <row r="4" customFormat="false" ht="31.5" hidden="false" customHeight="true" outlineLevel="0" collapsed="false">
      <c r="A4" s="3" t="s">
        <v>336</v>
      </c>
      <c r="B4" s="3" t="s">
        <v>337</v>
      </c>
      <c r="C4" s="3" t="s">
        <v>338</v>
      </c>
      <c r="D4" s="3" t="s">
        <v>339</v>
      </c>
      <c r="E4" s="3" t="s">
        <v>340</v>
      </c>
    </row>
    <row r="5" customFormat="false" ht="15" hidden="false" customHeight="false" outlineLevel="0" collapsed="false">
      <c r="A5" s="4" t="s">
        <v>341</v>
      </c>
      <c r="B5" s="4" t="s">
        <v>342</v>
      </c>
      <c r="C5" s="4" t="s">
        <v>343</v>
      </c>
      <c r="D5" s="4" t="s">
        <v>344</v>
      </c>
      <c r="E5" s="4" t="s">
        <v>345</v>
      </c>
    </row>
    <row r="6" customFormat="false" ht="15" hidden="false" customHeight="false" outlineLevel="0" collapsed="false">
      <c r="A6" s="5" t="s">
        <v>346</v>
      </c>
      <c r="B6" s="5" t="s">
        <v>257</v>
      </c>
      <c r="C6" s="5" t="s">
        <v>347</v>
      </c>
      <c r="D6" s="5" t="s">
        <v>348</v>
      </c>
      <c r="E6" s="5" t="s">
        <v>345</v>
      </c>
    </row>
    <row r="7" customFormat="false" ht="15" hidden="false" customHeight="false" outlineLevel="0" collapsed="false">
      <c r="A7" s="4" t="s">
        <v>349</v>
      </c>
      <c r="B7" s="4" t="s">
        <v>350</v>
      </c>
      <c r="C7" s="4" t="s">
        <v>351</v>
      </c>
      <c r="D7" s="4" t="s">
        <v>352</v>
      </c>
      <c r="E7" s="4" t="s">
        <v>345</v>
      </c>
    </row>
    <row r="8" customFormat="false" ht="15" hidden="false" customHeight="false" outlineLevel="0" collapsed="false">
      <c r="A8" s="5" t="s">
        <v>353</v>
      </c>
      <c r="B8" s="5" t="s">
        <v>354</v>
      </c>
      <c r="C8" s="5" t="s">
        <v>355</v>
      </c>
      <c r="D8" s="5" t="s">
        <v>356</v>
      </c>
      <c r="E8" s="5" t="s">
        <v>357</v>
      </c>
    </row>
    <row r="9" customFormat="false" ht="15" hidden="false" customHeight="false" outlineLevel="0" collapsed="false">
      <c r="A9" s="4" t="s">
        <v>358</v>
      </c>
      <c r="B9" s="4" t="s">
        <v>359</v>
      </c>
      <c r="C9" s="4" t="s">
        <v>360</v>
      </c>
      <c r="D9" s="4" t="s">
        <v>361</v>
      </c>
      <c r="E9" s="4" t="s">
        <v>357</v>
      </c>
    </row>
    <row r="10" customFormat="false" ht="15" hidden="false" customHeight="false" outlineLevel="0" collapsed="false">
      <c r="A10" s="5" t="s">
        <v>362</v>
      </c>
      <c r="B10" s="5" t="s">
        <v>363</v>
      </c>
      <c r="C10" s="5" t="s">
        <v>364</v>
      </c>
      <c r="D10" s="5" t="s">
        <v>365</v>
      </c>
      <c r="E10" s="5" t="s">
        <v>357</v>
      </c>
    </row>
    <row r="11" customFormat="false" ht="15" hidden="false" customHeight="false" outlineLevel="0" collapsed="false">
      <c r="A11" s="4" t="s">
        <v>366</v>
      </c>
      <c r="B11" s="4" t="s">
        <v>367</v>
      </c>
      <c r="C11" s="4" t="s">
        <v>367</v>
      </c>
      <c r="D11" s="4" t="s">
        <v>368</v>
      </c>
      <c r="E11" s="4" t="s">
        <v>369</v>
      </c>
    </row>
    <row r="12" customFormat="false" ht="15" hidden="false" customHeight="false" outlineLevel="0" collapsed="false">
      <c r="A12" s="5" t="s">
        <v>370</v>
      </c>
      <c r="B12" s="5" t="s">
        <v>371</v>
      </c>
      <c r="C12" s="5" t="s">
        <v>372</v>
      </c>
      <c r="D12" s="5" t="s">
        <v>373</v>
      </c>
      <c r="E12" s="5" t="s">
        <v>374</v>
      </c>
    </row>
    <row r="13" customFormat="false" ht="15" hidden="false" customHeight="false" outlineLevel="0" collapsed="false">
      <c r="A13" s="4" t="s">
        <v>375</v>
      </c>
      <c r="B13" s="4" t="s">
        <v>376</v>
      </c>
      <c r="C13" s="4" t="s">
        <v>377</v>
      </c>
      <c r="D13" s="4" t="s">
        <v>378</v>
      </c>
      <c r="E13" s="4" t="s">
        <v>379</v>
      </c>
    </row>
    <row r="14" customFormat="false" ht="15" hidden="false" customHeight="false" outlineLevel="0" collapsed="false">
      <c r="A14" s="5" t="s">
        <v>380</v>
      </c>
      <c r="B14" s="5" t="s">
        <v>381</v>
      </c>
      <c r="C14" s="5" t="s">
        <v>382</v>
      </c>
      <c r="D14" s="5" t="s">
        <v>383</v>
      </c>
      <c r="E14" s="5" t="s">
        <v>379</v>
      </c>
    </row>
    <row r="15" customFormat="false" ht="15" hidden="false" customHeight="false" outlineLevel="0" collapsed="false">
      <c r="A15" s="4" t="s">
        <v>384</v>
      </c>
      <c r="B15" s="4" t="s">
        <v>385</v>
      </c>
      <c r="C15" s="4" t="s">
        <v>386</v>
      </c>
      <c r="D15" s="4" t="s">
        <v>387</v>
      </c>
      <c r="E15" s="4" t="s">
        <v>379</v>
      </c>
    </row>
    <row r="16" customFormat="false" ht="15" hidden="false" customHeight="false" outlineLevel="0" collapsed="false">
      <c r="A16" s="5" t="s">
        <v>388</v>
      </c>
      <c r="B16" s="5" t="s">
        <v>389</v>
      </c>
      <c r="C16" s="5" t="s">
        <v>390</v>
      </c>
      <c r="D16" s="5" t="s">
        <v>391</v>
      </c>
      <c r="E16" s="5" t="s">
        <v>392</v>
      </c>
    </row>
    <row r="17" customFormat="false" ht="15" hidden="false" customHeight="false" outlineLevel="0" collapsed="false">
      <c r="A17" s="4" t="s">
        <v>393</v>
      </c>
      <c r="B17" s="4" t="s">
        <v>394</v>
      </c>
      <c r="C17" s="4" t="s">
        <v>395</v>
      </c>
      <c r="D17" s="4" t="s">
        <v>396</v>
      </c>
      <c r="E17" s="4" t="s">
        <v>392</v>
      </c>
    </row>
    <row r="18" customFormat="false" ht="15" hidden="false" customHeight="false" outlineLevel="0" collapsed="false">
      <c r="A18" s="5" t="s">
        <v>397</v>
      </c>
      <c r="B18" s="5" t="s">
        <v>398</v>
      </c>
      <c r="C18" s="5" t="s">
        <v>399</v>
      </c>
      <c r="D18" s="5" t="s">
        <v>400</v>
      </c>
      <c r="E18" s="5" t="s">
        <v>401</v>
      </c>
    </row>
    <row r="19" customFormat="false" ht="15" hidden="false" customHeight="false" outlineLevel="0" collapsed="false">
      <c r="A19" s="4" t="s">
        <v>402</v>
      </c>
      <c r="B19" s="4" t="s">
        <v>403</v>
      </c>
      <c r="C19" s="4" t="s">
        <v>404</v>
      </c>
      <c r="D19" s="4" t="s">
        <v>405</v>
      </c>
      <c r="E19" s="4" t="s">
        <v>401</v>
      </c>
    </row>
    <row r="20" customFormat="false" ht="15" hidden="false" customHeight="false" outlineLevel="0" collapsed="false">
      <c r="A20" s="5" t="s">
        <v>406</v>
      </c>
      <c r="B20" s="5" t="s">
        <v>407</v>
      </c>
      <c r="C20" s="5" t="s">
        <v>408</v>
      </c>
      <c r="D20" s="5" t="s">
        <v>409</v>
      </c>
      <c r="E20" s="5" t="s">
        <v>410</v>
      </c>
    </row>
    <row r="21" customFormat="false" ht="15" hidden="false" customHeight="false" outlineLevel="0" collapsed="false">
      <c r="A21" s="4" t="s">
        <v>411</v>
      </c>
      <c r="B21" s="4" t="s">
        <v>412</v>
      </c>
      <c r="C21" s="4" t="s">
        <v>413</v>
      </c>
      <c r="D21" s="4" t="s">
        <v>361</v>
      </c>
      <c r="E21" s="4" t="s">
        <v>410</v>
      </c>
    </row>
    <row r="23" customFormat="false" ht="15" hidden="false" customHeight="false" outlineLevel="0" collapsed="false">
      <c r="A23" s="6" t="s">
        <v>414</v>
      </c>
      <c r="B23" s="7"/>
      <c r="C23" s="7"/>
      <c r="D23" s="7"/>
      <c r="E23" s="7"/>
      <c r="F23" s="7"/>
      <c r="G23" s="7"/>
      <c r="H23" s="7"/>
      <c r="I23" s="7"/>
      <c r="J23" s="7"/>
    </row>
    <row r="24" customFormat="false" ht="31.5" hidden="false" customHeight="true" outlineLevel="0" collapsed="false">
      <c r="A24" s="3" t="s">
        <v>415</v>
      </c>
      <c r="B24" s="3" t="s">
        <v>416</v>
      </c>
      <c r="C24" s="3" t="s">
        <v>417</v>
      </c>
      <c r="D24" s="3" t="s">
        <v>418</v>
      </c>
      <c r="E24" s="3" t="s">
        <v>419</v>
      </c>
      <c r="F24" s="3" t="s">
        <v>420</v>
      </c>
      <c r="G24" s="3" t="s">
        <v>421</v>
      </c>
      <c r="H24" s="3" t="s">
        <v>422</v>
      </c>
      <c r="I24" s="3" t="s">
        <v>423</v>
      </c>
      <c r="J24" s="3" t="s">
        <v>424</v>
      </c>
    </row>
    <row r="25" customFormat="false" ht="15" hidden="false" customHeight="false" outlineLevel="0" collapsed="false">
      <c r="A25" s="4" t="s">
        <v>337</v>
      </c>
      <c r="B25" s="8" t="n">
        <v>800</v>
      </c>
      <c r="C25" s="8" t="n">
        <v>1500</v>
      </c>
      <c r="D25" s="17" t="n">
        <v>5</v>
      </c>
      <c r="E25" s="17" t="n">
        <v>5.9</v>
      </c>
      <c r="F25" s="17" t="n">
        <v>2</v>
      </c>
      <c r="G25" s="17" t="n">
        <v>3</v>
      </c>
      <c r="H25" s="8" t="n">
        <v>55</v>
      </c>
      <c r="I25" s="8" t="n">
        <v>120</v>
      </c>
      <c r="J25" s="4" t="s">
        <v>425</v>
      </c>
    </row>
    <row r="26" customFormat="false" ht="15" hidden="false" customHeight="false" outlineLevel="0" collapsed="false">
      <c r="A26" s="4" t="s">
        <v>338</v>
      </c>
      <c r="B26" s="8" t="n">
        <v>1400</v>
      </c>
      <c r="C26" s="8" t="n">
        <v>2100</v>
      </c>
      <c r="D26" s="17" t="n">
        <v>5</v>
      </c>
      <c r="E26" s="17" t="n">
        <v>5.6</v>
      </c>
      <c r="F26" s="17" t="n">
        <v>3</v>
      </c>
      <c r="G26" s="17" t="n">
        <v>5</v>
      </c>
      <c r="H26" s="8" t="n">
        <v>60</v>
      </c>
      <c r="I26" s="8" t="n">
        <v>100</v>
      </c>
      <c r="J26" s="4" t="s">
        <v>425</v>
      </c>
    </row>
    <row r="27" customFormat="false" ht="23.85" hidden="false" customHeight="false" outlineLevel="0" collapsed="false">
      <c r="A27" s="4" t="s">
        <v>339</v>
      </c>
      <c r="B27" s="8" t="n">
        <v>2000</v>
      </c>
      <c r="C27" s="18" t="n">
        <v>2500</v>
      </c>
      <c r="D27" s="17" t="n">
        <v>3.7</v>
      </c>
      <c r="E27" s="17" t="n">
        <v>3.9</v>
      </c>
      <c r="F27" s="19" t="n">
        <v>3</v>
      </c>
      <c r="G27" s="19" t="n">
        <v>5</v>
      </c>
      <c r="H27" s="8" t="n">
        <v>8</v>
      </c>
      <c r="I27" s="8" t="n">
        <v>20</v>
      </c>
      <c r="J27" s="4" t="s">
        <v>426</v>
      </c>
    </row>
    <row r="28" customFormat="false" ht="15" hidden="false" customHeight="false" outlineLevel="0" collapsed="false">
      <c r="A28" s="16" t="s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62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428</v>
      </c>
    </row>
    <row r="2" customFormat="false" ht="15" hidden="false" customHeight="false" outlineLevel="0" collapsed="false">
      <c r="A2" s="2" t="s">
        <v>429</v>
      </c>
    </row>
    <row r="4" customFormat="false" ht="31.5" hidden="false" customHeight="true" outlineLevel="0" collapsed="false">
      <c r="A4" s="3" t="s">
        <v>430</v>
      </c>
      <c r="B4" s="3" t="s">
        <v>431</v>
      </c>
      <c r="C4" s="3" t="s">
        <v>432</v>
      </c>
      <c r="D4" s="3" t="s">
        <v>366</v>
      </c>
      <c r="E4" s="3" t="s">
        <v>174</v>
      </c>
      <c r="F4" s="3" t="s">
        <v>433</v>
      </c>
    </row>
    <row r="5" customFormat="false" ht="23.85" hidden="false" customHeight="false" outlineLevel="0" collapsed="false">
      <c r="A5" s="4" t="s">
        <v>434</v>
      </c>
      <c r="B5" s="8" t="n">
        <v>50</v>
      </c>
      <c r="C5" s="8" t="n">
        <v>100</v>
      </c>
      <c r="D5" s="20" t="n">
        <v>9</v>
      </c>
      <c r="E5" s="4" t="s">
        <v>435</v>
      </c>
      <c r="F5" s="4" t="s">
        <v>436</v>
      </c>
    </row>
    <row r="6" customFormat="false" ht="15" hidden="false" customHeight="false" outlineLevel="0" collapsed="false">
      <c r="A6" s="5" t="s">
        <v>437</v>
      </c>
      <c r="B6" s="9" t="n">
        <v>30</v>
      </c>
      <c r="C6" s="9" t="n">
        <v>80</v>
      </c>
      <c r="D6" s="21" t="n">
        <v>7</v>
      </c>
      <c r="E6" s="5" t="s">
        <v>438</v>
      </c>
      <c r="F6" s="5" t="s">
        <v>436</v>
      </c>
    </row>
    <row r="7" customFormat="false" ht="23.85" hidden="false" customHeight="false" outlineLevel="0" collapsed="false">
      <c r="A7" s="4" t="s">
        <v>439</v>
      </c>
      <c r="B7" s="8" t="n">
        <v>60</v>
      </c>
      <c r="C7" s="8" t="n">
        <v>120</v>
      </c>
      <c r="D7" s="20" t="n">
        <v>6</v>
      </c>
      <c r="E7" s="4" t="s">
        <v>440</v>
      </c>
      <c r="F7" s="4" t="s">
        <v>436</v>
      </c>
    </row>
    <row r="8" customFormat="false" ht="23.85" hidden="false" customHeight="false" outlineLevel="0" collapsed="false">
      <c r="A8" s="5" t="s">
        <v>441</v>
      </c>
      <c r="B8" s="9" t="n">
        <v>70</v>
      </c>
      <c r="C8" s="9" t="n">
        <v>150</v>
      </c>
      <c r="D8" s="21" t="n">
        <v>5</v>
      </c>
      <c r="E8" s="5" t="s">
        <v>442</v>
      </c>
      <c r="F8" s="5" t="s">
        <v>436</v>
      </c>
    </row>
    <row r="9" customFormat="false" ht="23.85" hidden="false" customHeight="false" outlineLevel="0" collapsed="false">
      <c r="A9" s="4" t="s">
        <v>443</v>
      </c>
      <c r="B9" s="8" t="n">
        <v>235</v>
      </c>
      <c r="C9" s="8" t="n">
        <v>600</v>
      </c>
      <c r="D9" s="20" t="n">
        <v>5</v>
      </c>
      <c r="E9" s="4" t="s">
        <v>444</v>
      </c>
      <c r="F9" s="4" t="s">
        <v>445</v>
      </c>
    </row>
    <row r="10" customFormat="false" ht="15" hidden="false" customHeight="false" outlineLevel="0" collapsed="false">
      <c r="A10" s="16" t="s">
        <v>446</v>
      </c>
    </row>
    <row r="12" customFormat="false" ht="15" hidden="false" customHeight="false" outlineLevel="0" collapsed="false">
      <c r="A12" s="6" t="s">
        <v>447</v>
      </c>
      <c r="B12" s="7"/>
      <c r="C12" s="7"/>
      <c r="D12" s="7"/>
      <c r="E12" s="7"/>
      <c r="F12" s="7"/>
    </row>
    <row r="13" customFormat="false" ht="31.5" hidden="false" customHeight="true" outlineLevel="0" collapsed="false">
      <c r="A13" s="3" t="s">
        <v>415</v>
      </c>
      <c r="B13" s="3" t="s">
        <v>448</v>
      </c>
      <c r="C13" s="3" t="s">
        <v>449</v>
      </c>
      <c r="D13" s="3" t="s">
        <v>450</v>
      </c>
    </row>
    <row r="14" customFormat="false" ht="46.25" hidden="false" customHeight="false" outlineLevel="0" collapsed="false">
      <c r="A14" s="4" t="s">
        <v>451</v>
      </c>
      <c r="B14" s="4" t="s">
        <v>452</v>
      </c>
      <c r="C14" s="4" t="s">
        <v>453</v>
      </c>
      <c r="D14" s="4" t="s">
        <v>454</v>
      </c>
    </row>
    <row r="15" customFormat="false" ht="46.25" hidden="false" customHeight="false" outlineLevel="0" collapsed="false">
      <c r="A15" s="5" t="s">
        <v>455</v>
      </c>
      <c r="B15" s="5" t="s">
        <v>456</v>
      </c>
      <c r="C15" s="5" t="s">
        <v>453</v>
      </c>
      <c r="D15" s="5" t="s">
        <v>457</v>
      </c>
    </row>
    <row r="16" customFormat="false" ht="79.85" hidden="false" customHeight="false" outlineLevel="0" collapsed="false">
      <c r="A16" s="4" t="s">
        <v>458</v>
      </c>
      <c r="B16" s="4" t="s">
        <v>459</v>
      </c>
      <c r="C16" s="4" t="s">
        <v>453</v>
      </c>
      <c r="D16" s="4" t="s">
        <v>460</v>
      </c>
    </row>
    <row r="17" customFormat="false" ht="23.85" hidden="false" customHeight="false" outlineLevel="0" collapsed="false">
      <c r="A17" s="5" t="s">
        <v>461</v>
      </c>
      <c r="B17" s="5" t="s">
        <v>462</v>
      </c>
      <c r="C17" s="5" t="s">
        <v>453</v>
      </c>
      <c r="D17" s="5" t="s">
        <v>463</v>
      </c>
    </row>
    <row r="18" customFormat="false" ht="35.05" hidden="false" customHeight="false" outlineLevel="0" collapsed="false">
      <c r="A18" s="4" t="s">
        <v>464</v>
      </c>
      <c r="B18" s="4" t="s">
        <v>465</v>
      </c>
      <c r="C18" s="4" t="s">
        <v>453</v>
      </c>
      <c r="D18" s="4" t="s">
        <v>466</v>
      </c>
    </row>
    <row r="19" customFormat="false" ht="158.2" hidden="false" customHeight="false" outlineLevel="0" collapsed="false">
      <c r="A19" s="5" t="s">
        <v>467</v>
      </c>
      <c r="B19" s="5" t="s">
        <v>468</v>
      </c>
      <c r="C19" s="5" t="s">
        <v>445</v>
      </c>
      <c r="D19" s="5" t="s">
        <v>469</v>
      </c>
    </row>
    <row r="20" customFormat="false" ht="113.4" hidden="false" customHeight="false" outlineLevel="0" collapsed="false">
      <c r="A20" s="4" t="s">
        <v>470</v>
      </c>
      <c r="B20" s="4" t="s">
        <v>471</v>
      </c>
      <c r="C20" s="4" t="s">
        <v>445</v>
      </c>
      <c r="D20" s="4" t="s">
        <v>472</v>
      </c>
    </row>
    <row r="21" customFormat="false" ht="57.45" hidden="false" customHeight="false" outlineLevel="0" collapsed="false">
      <c r="A21" s="5" t="s">
        <v>473</v>
      </c>
      <c r="B21" s="5" t="s">
        <v>474</v>
      </c>
      <c r="C21" s="5" t="s">
        <v>445</v>
      </c>
      <c r="D21" s="5" t="s">
        <v>475</v>
      </c>
    </row>
    <row r="23" customFormat="false" ht="15" hidden="false" customHeight="false" outlineLevel="0" collapsed="false">
      <c r="A23" s="6" t="s">
        <v>476</v>
      </c>
      <c r="B23" s="7"/>
      <c r="C23" s="7"/>
      <c r="D23" s="7"/>
      <c r="E23" s="7"/>
      <c r="F23" s="7"/>
    </row>
    <row r="24" customFormat="false" ht="31.5" hidden="false" customHeight="true" outlineLevel="0" collapsed="false">
      <c r="A24" s="3" t="s">
        <v>415</v>
      </c>
      <c r="B24" s="3" t="s">
        <v>477</v>
      </c>
      <c r="C24" s="3" t="s">
        <v>62</v>
      </c>
    </row>
    <row r="25" customFormat="false" ht="23.85" hidden="false" customHeight="false" outlineLevel="0" collapsed="false">
      <c r="A25" s="4" t="s">
        <v>478</v>
      </c>
      <c r="B25" s="4" t="s">
        <v>479</v>
      </c>
      <c r="C25" s="4" t="s">
        <v>480</v>
      </c>
    </row>
    <row r="26" customFormat="false" ht="23.85" hidden="false" customHeight="false" outlineLevel="0" collapsed="false">
      <c r="A26" s="5" t="s">
        <v>481</v>
      </c>
      <c r="B26" s="5" t="s">
        <v>482</v>
      </c>
      <c r="C26" s="5" t="s">
        <v>483</v>
      </c>
    </row>
    <row r="27" customFormat="false" ht="23.85" hidden="false" customHeight="false" outlineLevel="0" collapsed="false">
      <c r="A27" s="4" t="s">
        <v>484</v>
      </c>
      <c r="B27" s="4" t="s">
        <v>485</v>
      </c>
      <c r="C27" s="4" t="s">
        <v>486</v>
      </c>
    </row>
    <row r="28" customFormat="false" ht="23.85" hidden="false" customHeight="false" outlineLevel="0" collapsed="false">
      <c r="A28" s="5" t="s">
        <v>487</v>
      </c>
      <c r="B28" s="5" t="s">
        <v>488</v>
      </c>
      <c r="C28" s="5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0"/>
    <col collapsed="false" customWidth="true" hidden="false" outlineLevel="0" max="3" min="3" style="0" width="2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489</v>
      </c>
    </row>
    <row r="2" customFormat="false" ht="15" hidden="false" customHeight="false" outlineLevel="0" collapsed="false">
      <c r="A2" s="2" t="s">
        <v>490</v>
      </c>
    </row>
    <row r="4" customFormat="false" ht="31.5" hidden="false" customHeight="true" outlineLevel="0" collapsed="false">
      <c r="A4" s="3" t="s">
        <v>491</v>
      </c>
      <c r="B4" s="3" t="s">
        <v>448</v>
      </c>
      <c r="C4" s="3" t="s">
        <v>492</v>
      </c>
      <c r="D4" s="3" t="s">
        <v>493</v>
      </c>
    </row>
    <row r="5" customFormat="false" ht="23.85" hidden="false" customHeight="false" outlineLevel="0" collapsed="false">
      <c r="A5" s="4" t="s">
        <v>494</v>
      </c>
      <c r="B5" s="4" t="s">
        <v>495</v>
      </c>
      <c r="C5" s="4" t="s">
        <v>496</v>
      </c>
      <c r="D5" s="4" t="s">
        <v>497</v>
      </c>
    </row>
    <row r="6" customFormat="false" ht="15" hidden="false" customHeight="false" outlineLevel="0" collapsed="false">
      <c r="A6" s="5" t="s">
        <v>439</v>
      </c>
      <c r="B6" s="5" t="s">
        <v>498</v>
      </c>
      <c r="C6" s="5" t="s">
        <v>499</v>
      </c>
      <c r="D6" s="5" t="s">
        <v>500</v>
      </c>
    </row>
    <row r="7" customFormat="false" ht="23.85" hidden="false" customHeight="false" outlineLevel="0" collapsed="false">
      <c r="A7" s="4" t="s">
        <v>501</v>
      </c>
      <c r="B7" s="4" t="s">
        <v>502</v>
      </c>
      <c r="C7" s="4" t="s">
        <v>503</v>
      </c>
      <c r="D7" s="4" t="s">
        <v>504</v>
      </c>
    </row>
    <row r="9" customFormat="false" ht="15" hidden="false" customHeight="false" outlineLevel="0" collapsed="false">
      <c r="A9" s="6" t="s">
        <v>505</v>
      </c>
      <c r="B9" s="7"/>
      <c r="C9" s="7"/>
      <c r="D9" s="7"/>
    </row>
    <row r="10" customFormat="false" ht="31.5" hidden="false" customHeight="true" outlineLevel="0" collapsed="false">
      <c r="A10" s="3" t="s">
        <v>506</v>
      </c>
      <c r="B10" s="3" t="s">
        <v>507</v>
      </c>
      <c r="C10" s="3" t="s">
        <v>62</v>
      </c>
    </row>
    <row r="11" customFormat="false" ht="15" hidden="false" customHeight="false" outlineLevel="0" collapsed="false">
      <c r="A11" s="4" t="s">
        <v>508</v>
      </c>
      <c r="B11" s="4" t="s">
        <v>509</v>
      </c>
      <c r="C11" s="4" t="s">
        <v>185</v>
      </c>
    </row>
    <row r="12" customFormat="false" ht="15" hidden="false" customHeight="false" outlineLevel="0" collapsed="false">
      <c r="A12" s="5" t="s">
        <v>510</v>
      </c>
      <c r="B12" s="5" t="s">
        <v>511</v>
      </c>
      <c r="C12" s="5" t="s">
        <v>185</v>
      </c>
    </row>
    <row r="13" customFormat="false" ht="15" hidden="false" customHeight="false" outlineLevel="0" collapsed="false">
      <c r="A13" s="4" t="s">
        <v>512</v>
      </c>
      <c r="B13" s="4" t="s">
        <v>513</v>
      </c>
      <c r="C13" s="4" t="s">
        <v>514</v>
      </c>
    </row>
    <row r="14" customFormat="false" ht="15" hidden="false" customHeight="false" outlineLevel="0" collapsed="false">
      <c r="A14" s="5" t="s">
        <v>515</v>
      </c>
      <c r="B14" s="5" t="s">
        <v>516</v>
      </c>
      <c r="C14" s="5" t="s">
        <v>517</v>
      </c>
    </row>
    <row r="15" customFormat="false" ht="15" hidden="false" customHeight="false" outlineLevel="0" collapsed="false">
      <c r="A15" s="4" t="s">
        <v>518</v>
      </c>
      <c r="B15" s="4" t="s">
        <v>519</v>
      </c>
      <c r="C15" s="4" t="s">
        <v>520</v>
      </c>
    </row>
    <row r="16" customFormat="false" ht="15" hidden="false" customHeight="false" outlineLevel="0" collapsed="false">
      <c r="A16" s="5" t="s">
        <v>521</v>
      </c>
      <c r="B16" s="5" t="s">
        <v>522</v>
      </c>
      <c r="C16" s="5" t="s">
        <v>124</v>
      </c>
    </row>
    <row r="17" customFormat="false" ht="15" hidden="false" customHeight="false" outlineLevel="0" collapsed="false">
      <c r="A17" s="4" t="s">
        <v>523</v>
      </c>
      <c r="B17" s="4" t="s">
        <v>524</v>
      </c>
      <c r="C17" s="4" t="s">
        <v>124</v>
      </c>
    </row>
    <row r="18" customFormat="false" ht="15" hidden="false" customHeight="false" outlineLevel="0" collapsed="false">
      <c r="A18" s="5" t="s">
        <v>525</v>
      </c>
      <c r="B18" s="5" t="s">
        <v>526</v>
      </c>
      <c r="C18" s="5" t="s">
        <v>124</v>
      </c>
    </row>
    <row r="19" customFormat="false" ht="15" hidden="false" customHeight="false" outlineLevel="0" collapsed="false">
      <c r="A19" s="4" t="s">
        <v>527</v>
      </c>
      <c r="B19" s="4" t="s">
        <v>528</v>
      </c>
      <c r="C19" s="4" t="s">
        <v>120</v>
      </c>
    </row>
    <row r="20" customFormat="false" ht="23.85" hidden="false" customHeight="false" outlineLevel="0" collapsed="false">
      <c r="A20" s="5" t="s">
        <v>529</v>
      </c>
      <c r="B20" s="5" t="s">
        <v>530</v>
      </c>
      <c r="C20" s="5" t="s">
        <v>185</v>
      </c>
    </row>
    <row r="21" customFormat="false" ht="15" hidden="false" customHeight="false" outlineLevel="0" collapsed="false">
      <c r="A21" s="4" t="s">
        <v>531</v>
      </c>
      <c r="B21" s="4" t="s">
        <v>532</v>
      </c>
      <c r="C21" s="4" t="s">
        <v>120</v>
      </c>
    </row>
    <row r="22" customFormat="false" ht="15" hidden="false" customHeight="false" outlineLevel="0" collapsed="false">
      <c r="A22" s="5" t="s">
        <v>533</v>
      </c>
      <c r="B22" s="5" t="s">
        <v>534</v>
      </c>
      <c r="C22" s="5" t="s">
        <v>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L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8" style="0" width="9"/>
    <col collapsed="false" customWidth="true" hidden="false" outlineLevel="0" max="10" min="10" style="0" width="28"/>
    <col collapsed="false" customWidth="true" hidden="false" outlineLevel="0" max="11" min="11" style="0" width="56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1" t="s">
        <v>536</v>
      </c>
    </row>
    <row r="2" customFormat="false" ht="15" hidden="false" customHeight="false" outlineLevel="0" collapsed="false">
      <c r="A2" s="2" t="s">
        <v>537</v>
      </c>
    </row>
    <row r="4" customFormat="false" ht="31.5" hidden="false" customHeight="true" outlineLevel="0" collapsed="false">
      <c r="A4" s="3" t="s">
        <v>538</v>
      </c>
      <c r="B4" s="3" t="s">
        <v>539</v>
      </c>
      <c r="C4" s="3" t="s">
        <v>540</v>
      </c>
      <c r="D4" s="3" t="s">
        <v>541</v>
      </c>
      <c r="E4" s="3" t="s">
        <v>542</v>
      </c>
      <c r="F4" s="3" t="s">
        <v>543</v>
      </c>
      <c r="G4" s="3" t="s">
        <v>544</v>
      </c>
      <c r="H4" s="3" t="s">
        <v>545</v>
      </c>
      <c r="I4" s="3" t="s">
        <v>546</v>
      </c>
      <c r="J4" s="3" t="s">
        <v>547</v>
      </c>
      <c r="K4" s="3" t="s">
        <v>548</v>
      </c>
      <c r="L4" s="3" t="s">
        <v>549</v>
      </c>
    </row>
    <row r="5" customFormat="false" ht="15" hidden="false" customHeight="false" outlineLevel="0" collapsed="false">
      <c r="A5" s="4" t="n">
        <v>1</v>
      </c>
      <c r="B5" s="4" t="s">
        <v>550</v>
      </c>
      <c r="C5" s="4" t="s">
        <v>551</v>
      </c>
      <c r="D5" s="4" t="s">
        <v>552</v>
      </c>
      <c r="E5" s="4" t="s">
        <v>553</v>
      </c>
      <c r="F5" s="4" t="s">
        <v>554</v>
      </c>
      <c r="G5" s="22" t="n">
        <v>4</v>
      </c>
      <c r="H5" s="20" t="n">
        <v>8</v>
      </c>
      <c r="I5" s="20" t="n">
        <v>8</v>
      </c>
      <c r="J5" s="4" t="s">
        <v>555</v>
      </c>
      <c r="K5" s="4" t="s">
        <v>556</v>
      </c>
      <c r="L5" s="4" t="s">
        <v>557</v>
      </c>
    </row>
    <row r="6" customFormat="false" ht="15" hidden="false" customHeight="false" outlineLevel="0" collapsed="false">
      <c r="A6" s="5" t="n">
        <v>2</v>
      </c>
      <c r="B6" s="5" t="s">
        <v>558</v>
      </c>
      <c r="C6" s="5" t="s">
        <v>559</v>
      </c>
      <c r="D6" s="5" t="s">
        <v>560</v>
      </c>
      <c r="E6" s="5" t="s">
        <v>561</v>
      </c>
      <c r="F6" s="5" t="s">
        <v>562</v>
      </c>
      <c r="G6" s="23" t="n">
        <v>20</v>
      </c>
      <c r="H6" s="21" t="n">
        <v>6</v>
      </c>
      <c r="I6" s="21" t="n">
        <v>7</v>
      </c>
      <c r="J6" s="5" t="s">
        <v>563</v>
      </c>
      <c r="K6" s="5" t="s">
        <v>564</v>
      </c>
      <c r="L6" s="5" t="s">
        <v>565</v>
      </c>
    </row>
    <row r="7" customFormat="false" ht="15" hidden="false" customHeight="false" outlineLevel="0" collapsed="false">
      <c r="A7" s="4" t="n">
        <v>3</v>
      </c>
      <c r="B7" s="4" t="s">
        <v>566</v>
      </c>
      <c r="C7" s="4" t="s">
        <v>567</v>
      </c>
      <c r="D7" s="4" t="s">
        <v>560</v>
      </c>
      <c r="E7" s="4" t="s">
        <v>568</v>
      </c>
      <c r="F7" s="4" t="s">
        <v>569</v>
      </c>
      <c r="G7" s="22" t="n">
        <v>10</v>
      </c>
      <c r="H7" s="20" t="n">
        <v>6</v>
      </c>
      <c r="I7" s="20" t="n">
        <v>7</v>
      </c>
      <c r="J7" s="4" t="s">
        <v>570</v>
      </c>
      <c r="K7" s="4" t="s">
        <v>571</v>
      </c>
      <c r="L7" s="4" t="s">
        <v>572</v>
      </c>
    </row>
    <row r="8" customFormat="false" ht="15" hidden="false" customHeight="false" outlineLevel="0" collapsed="false">
      <c r="A8" s="5" t="n">
        <v>4</v>
      </c>
      <c r="B8" s="5" t="s">
        <v>573</v>
      </c>
      <c r="C8" s="5" t="s">
        <v>559</v>
      </c>
      <c r="D8" s="5" t="s">
        <v>552</v>
      </c>
      <c r="E8" s="5" t="s">
        <v>553</v>
      </c>
      <c r="F8" s="5" t="s">
        <v>562</v>
      </c>
      <c r="G8" s="23" t="n">
        <v>0.35</v>
      </c>
      <c r="H8" s="21" t="n">
        <v>7</v>
      </c>
      <c r="I8" s="21" t="n">
        <v>7</v>
      </c>
      <c r="J8" s="5" t="s">
        <v>574</v>
      </c>
      <c r="K8" s="5" t="s">
        <v>575</v>
      </c>
      <c r="L8" s="5" t="s">
        <v>576</v>
      </c>
    </row>
    <row r="9" customFormat="false" ht="15" hidden="false" customHeight="false" outlineLevel="0" collapsed="false">
      <c r="A9" s="4" t="n">
        <v>5</v>
      </c>
      <c r="B9" s="4" t="s">
        <v>577</v>
      </c>
      <c r="C9" s="4" t="s">
        <v>578</v>
      </c>
      <c r="D9" s="4" t="s">
        <v>552</v>
      </c>
      <c r="E9" s="4" t="s">
        <v>579</v>
      </c>
      <c r="F9" s="4" t="s">
        <v>580</v>
      </c>
      <c r="G9" s="22" t="n">
        <v>0.3</v>
      </c>
      <c r="H9" s="20" t="n">
        <v>7</v>
      </c>
      <c r="I9" s="20" t="n">
        <v>7</v>
      </c>
      <c r="J9" s="4" t="s">
        <v>574</v>
      </c>
      <c r="K9" s="4" t="s">
        <v>581</v>
      </c>
      <c r="L9" s="4" t="s">
        <v>582</v>
      </c>
    </row>
    <row r="10" customFormat="false" ht="15" hidden="false" customHeight="false" outlineLevel="0" collapsed="false">
      <c r="A10" s="5" t="n">
        <v>6</v>
      </c>
      <c r="B10" s="5" t="s">
        <v>583</v>
      </c>
      <c r="C10" s="5" t="s">
        <v>584</v>
      </c>
      <c r="D10" s="5" t="s">
        <v>585</v>
      </c>
      <c r="E10" s="5" t="s">
        <v>586</v>
      </c>
      <c r="F10" s="5" t="s">
        <v>587</v>
      </c>
      <c r="G10" s="23" t="n">
        <v>0.6</v>
      </c>
      <c r="H10" s="21" t="n">
        <v>5</v>
      </c>
      <c r="I10" s="21" t="n">
        <v>6</v>
      </c>
      <c r="J10" s="5" t="s">
        <v>190</v>
      </c>
      <c r="K10" s="5" t="s">
        <v>190</v>
      </c>
      <c r="L10" s="5" t="s">
        <v>588</v>
      </c>
    </row>
    <row r="11" customFormat="false" ht="15" hidden="false" customHeight="false" outlineLevel="0" collapsed="false">
      <c r="A11" s="4" t="n">
        <v>7</v>
      </c>
      <c r="B11" s="4" t="s">
        <v>589</v>
      </c>
      <c r="C11" s="4" t="s">
        <v>559</v>
      </c>
      <c r="D11" s="4" t="s">
        <v>590</v>
      </c>
      <c r="E11" s="4" t="s">
        <v>591</v>
      </c>
      <c r="F11" s="4" t="s">
        <v>592</v>
      </c>
      <c r="G11" s="22" t="n">
        <v>0.3</v>
      </c>
      <c r="H11" s="20" t="n">
        <v>6</v>
      </c>
      <c r="I11" s="20" t="n">
        <v>6</v>
      </c>
      <c r="J11" s="4" t="s">
        <v>563</v>
      </c>
      <c r="K11" s="4" t="s">
        <v>593</v>
      </c>
      <c r="L11" s="4" t="s">
        <v>594</v>
      </c>
    </row>
    <row r="12" customFormat="false" ht="15" hidden="false" customHeight="false" outlineLevel="0" collapsed="false">
      <c r="A12" s="5" t="n">
        <v>8</v>
      </c>
      <c r="B12" s="5" t="s">
        <v>595</v>
      </c>
      <c r="C12" s="5" t="s">
        <v>596</v>
      </c>
      <c r="D12" s="5" t="s">
        <v>552</v>
      </c>
      <c r="E12" s="5" t="s">
        <v>597</v>
      </c>
      <c r="F12" s="5" t="s">
        <v>562</v>
      </c>
      <c r="G12" s="23" t="n">
        <v>330</v>
      </c>
      <c r="H12" s="21" t="n">
        <v>6</v>
      </c>
      <c r="I12" s="21" t="n">
        <v>6</v>
      </c>
      <c r="J12" s="5" t="s">
        <v>555</v>
      </c>
      <c r="K12" s="5" t="s">
        <v>598</v>
      </c>
      <c r="L12" s="5" t="s">
        <v>599</v>
      </c>
    </row>
    <row r="13" customFormat="false" ht="15" hidden="false" customHeight="false" outlineLevel="0" collapsed="false">
      <c r="A13" s="4" t="n">
        <v>9</v>
      </c>
      <c r="B13" s="4" t="s">
        <v>600</v>
      </c>
      <c r="C13" s="4" t="s">
        <v>601</v>
      </c>
      <c r="D13" s="4" t="s">
        <v>602</v>
      </c>
      <c r="E13" s="4" t="s">
        <v>597</v>
      </c>
      <c r="F13" s="4" t="s">
        <v>562</v>
      </c>
      <c r="G13" s="22" t="n">
        <v>20</v>
      </c>
      <c r="H13" s="20" t="n">
        <v>6</v>
      </c>
      <c r="I13" s="20" t="n">
        <v>7</v>
      </c>
      <c r="J13" s="4" t="s">
        <v>555</v>
      </c>
      <c r="K13" s="4" t="s">
        <v>603</v>
      </c>
      <c r="L13" s="4" t="s">
        <v>604</v>
      </c>
    </row>
    <row r="14" customFormat="false" ht="15" hidden="false" customHeight="false" outlineLevel="0" collapsed="false">
      <c r="A14" s="5" t="n">
        <v>10</v>
      </c>
      <c r="B14" s="5" t="s">
        <v>605</v>
      </c>
      <c r="C14" s="5" t="s">
        <v>606</v>
      </c>
      <c r="D14" s="5" t="s">
        <v>590</v>
      </c>
      <c r="E14" s="5" t="s">
        <v>591</v>
      </c>
      <c r="F14" s="5" t="s">
        <v>592</v>
      </c>
      <c r="G14" s="23" t="n">
        <v>0.3</v>
      </c>
      <c r="H14" s="21" t="n">
        <v>5</v>
      </c>
      <c r="I14" s="21" t="n">
        <v>6</v>
      </c>
      <c r="J14" s="5" t="s">
        <v>190</v>
      </c>
      <c r="K14" s="5" t="s">
        <v>190</v>
      </c>
      <c r="L14" s="5" t="s">
        <v>607</v>
      </c>
    </row>
    <row r="15" customFormat="false" ht="15" hidden="false" customHeight="false" outlineLevel="0" collapsed="false">
      <c r="A15" s="4" t="n">
        <v>11</v>
      </c>
      <c r="B15" s="4" t="s">
        <v>608</v>
      </c>
      <c r="C15" s="4" t="s">
        <v>609</v>
      </c>
      <c r="D15" s="4" t="s">
        <v>590</v>
      </c>
      <c r="E15" s="4" t="s">
        <v>568</v>
      </c>
      <c r="F15" s="4" t="s">
        <v>580</v>
      </c>
      <c r="G15" s="22" t="n">
        <v>70</v>
      </c>
      <c r="H15" s="20" t="n">
        <v>6</v>
      </c>
      <c r="I15" s="20" t="n">
        <v>7</v>
      </c>
      <c r="J15" s="4" t="s">
        <v>555</v>
      </c>
      <c r="K15" s="4" t="s">
        <v>610</v>
      </c>
      <c r="L15" s="4" t="s">
        <v>611</v>
      </c>
    </row>
    <row r="16" customFormat="false" ht="15" hidden="false" customHeight="false" outlineLevel="0" collapsed="false">
      <c r="A16" s="5" t="n">
        <v>12</v>
      </c>
      <c r="B16" s="5" t="s">
        <v>612</v>
      </c>
      <c r="C16" s="5" t="s">
        <v>613</v>
      </c>
      <c r="D16" s="5" t="s">
        <v>602</v>
      </c>
      <c r="E16" s="5" t="s">
        <v>614</v>
      </c>
      <c r="F16" s="5" t="s">
        <v>580</v>
      </c>
      <c r="G16" s="23" t="n">
        <v>10</v>
      </c>
      <c r="H16" s="21" t="n">
        <v>6</v>
      </c>
      <c r="I16" s="21" t="n">
        <v>7</v>
      </c>
      <c r="J16" s="5" t="s">
        <v>615</v>
      </c>
      <c r="K16" s="5" t="s">
        <v>616</v>
      </c>
      <c r="L16" s="5" t="s">
        <v>617</v>
      </c>
    </row>
    <row r="17" customFormat="false" ht="23.85" hidden="false" customHeight="false" outlineLevel="0" collapsed="false">
      <c r="A17" s="4" t="n">
        <v>13</v>
      </c>
      <c r="B17" s="4" t="s">
        <v>618</v>
      </c>
      <c r="C17" s="4" t="s">
        <v>584</v>
      </c>
      <c r="D17" s="4" t="s">
        <v>619</v>
      </c>
      <c r="E17" s="4" t="s">
        <v>597</v>
      </c>
      <c r="F17" s="4" t="s">
        <v>592</v>
      </c>
      <c r="G17" s="22" t="n">
        <v>0.45</v>
      </c>
      <c r="H17" s="20" t="n">
        <v>6</v>
      </c>
      <c r="I17" s="20" t="n">
        <v>7</v>
      </c>
      <c r="J17" s="4" t="s">
        <v>555</v>
      </c>
      <c r="K17" s="4" t="s">
        <v>620</v>
      </c>
      <c r="L17" s="4" t="s">
        <v>621</v>
      </c>
    </row>
    <row r="18" customFormat="false" ht="15" hidden="false" customHeight="false" outlineLevel="0" collapsed="false">
      <c r="A18" s="5" t="n">
        <v>14</v>
      </c>
      <c r="B18" s="5" t="s">
        <v>622</v>
      </c>
      <c r="C18" s="5" t="s">
        <v>623</v>
      </c>
      <c r="D18" s="5" t="s">
        <v>552</v>
      </c>
      <c r="E18" s="5" t="s">
        <v>568</v>
      </c>
      <c r="F18" s="5" t="s">
        <v>562</v>
      </c>
      <c r="G18" s="23" t="n">
        <v>800</v>
      </c>
      <c r="H18" s="21" t="n">
        <v>6</v>
      </c>
      <c r="I18" s="21" t="n">
        <v>7</v>
      </c>
      <c r="J18" s="5" t="s">
        <v>190</v>
      </c>
      <c r="K18" s="5" t="s">
        <v>624</v>
      </c>
      <c r="L18" s="5" t="s">
        <v>625</v>
      </c>
    </row>
    <row r="19" customFormat="false" ht="15" hidden="false" customHeight="false" outlineLevel="0" collapsed="false">
      <c r="A19" s="4" t="n">
        <v>15</v>
      </c>
      <c r="B19" s="4" t="s">
        <v>626</v>
      </c>
      <c r="C19" s="4" t="s">
        <v>627</v>
      </c>
      <c r="D19" s="4" t="s">
        <v>552</v>
      </c>
      <c r="E19" s="4" t="s">
        <v>597</v>
      </c>
      <c r="F19" s="4" t="s">
        <v>587</v>
      </c>
      <c r="G19" s="22" t="n">
        <v>700</v>
      </c>
      <c r="H19" s="20" t="n">
        <v>6</v>
      </c>
      <c r="I19" s="20" t="n">
        <v>7</v>
      </c>
      <c r="J19" s="4" t="s">
        <v>190</v>
      </c>
      <c r="K19" s="4" t="s">
        <v>628</v>
      </c>
      <c r="L19" s="4" t="s">
        <v>629</v>
      </c>
    </row>
    <row r="20" customFormat="false" ht="15" hidden="false" customHeight="false" outlineLevel="0" collapsed="false">
      <c r="A20" s="5" t="n">
        <v>16</v>
      </c>
      <c r="B20" s="5" t="s">
        <v>630</v>
      </c>
      <c r="C20" s="5" t="s">
        <v>631</v>
      </c>
      <c r="D20" s="5" t="s">
        <v>632</v>
      </c>
      <c r="E20" s="5" t="s">
        <v>445</v>
      </c>
      <c r="F20" s="5" t="s">
        <v>580</v>
      </c>
      <c r="G20" s="23" t="n">
        <v>630</v>
      </c>
      <c r="H20" s="21" t="n">
        <v>6</v>
      </c>
      <c r="I20" s="21" t="n">
        <v>7</v>
      </c>
      <c r="J20" s="5" t="s">
        <v>190</v>
      </c>
      <c r="K20" s="5" t="s">
        <v>633</v>
      </c>
      <c r="L20" s="5" t="s">
        <v>634</v>
      </c>
    </row>
    <row r="21" customFormat="false" ht="15" hidden="false" customHeight="false" outlineLevel="0" collapsed="false">
      <c r="A21" s="4" t="n">
        <v>17</v>
      </c>
      <c r="B21" s="4" t="s">
        <v>635</v>
      </c>
      <c r="C21" s="4" t="s">
        <v>636</v>
      </c>
      <c r="D21" s="4" t="s">
        <v>602</v>
      </c>
      <c r="E21" s="4" t="s">
        <v>597</v>
      </c>
      <c r="F21" s="4" t="s">
        <v>580</v>
      </c>
      <c r="G21" s="22" t="n">
        <v>85</v>
      </c>
      <c r="H21" s="20" t="n">
        <v>6</v>
      </c>
      <c r="I21" s="20" t="n">
        <v>7</v>
      </c>
      <c r="J21" s="4" t="s">
        <v>190</v>
      </c>
      <c r="K21" s="4" t="s">
        <v>637</v>
      </c>
      <c r="L21" s="4" t="s">
        <v>638</v>
      </c>
    </row>
    <row r="22" customFormat="false" ht="15" hidden="false" customHeight="false" outlineLevel="0" collapsed="false">
      <c r="A22" s="5" t="n">
        <v>18</v>
      </c>
      <c r="B22" s="5" t="s">
        <v>639</v>
      </c>
      <c r="C22" s="5" t="s">
        <v>567</v>
      </c>
      <c r="D22" s="5" t="s">
        <v>590</v>
      </c>
      <c r="E22" s="5" t="s">
        <v>579</v>
      </c>
      <c r="F22" s="5" t="s">
        <v>569</v>
      </c>
      <c r="G22" s="23" t="n">
        <v>8</v>
      </c>
      <c r="H22" s="21" t="n">
        <v>8</v>
      </c>
      <c r="I22" s="21" t="n">
        <v>8</v>
      </c>
      <c r="J22" s="5" t="s">
        <v>640</v>
      </c>
      <c r="K22" s="5" t="s">
        <v>641</v>
      </c>
      <c r="L22" s="5" t="s">
        <v>642</v>
      </c>
    </row>
    <row r="23" customFormat="false" ht="15" hidden="false" customHeight="false" outlineLevel="0" collapsed="false">
      <c r="A23" s="4" t="n">
        <v>19</v>
      </c>
      <c r="B23" s="4" t="s">
        <v>643</v>
      </c>
      <c r="C23" s="4" t="s">
        <v>644</v>
      </c>
      <c r="D23" s="4" t="s">
        <v>590</v>
      </c>
      <c r="E23" s="4" t="s">
        <v>645</v>
      </c>
      <c r="F23" s="4" t="s">
        <v>580</v>
      </c>
      <c r="G23" s="22" t="n">
        <v>60</v>
      </c>
      <c r="H23" s="20" t="n">
        <v>5</v>
      </c>
      <c r="I23" s="20" t="n">
        <v>6</v>
      </c>
      <c r="J23" s="4" t="s">
        <v>646</v>
      </c>
      <c r="K23" s="4" t="s">
        <v>647</v>
      </c>
      <c r="L23" s="4" t="s">
        <v>648</v>
      </c>
    </row>
    <row r="24" customFormat="false" ht="15" hidden="false" customHeight="false" outlineLevel="0" collapsed="false">
      <c r="A24" s="5" t="n">
        <v>20</v>
      </c>
      <c r="B24" s="5" t="s">
        <v>649</v>
      </c>
      <c r="C24" s="5" t="s">
        <v>551</v>
      </c>
      <c r="D24" s="5" t="s">
        <v>590</v>
      </c>
      <c r="E24" s="5" t="s">
        <v>597</v>
      </c>
      <c r="F24" s="5" t="s">
        <v>554</v>
      </c>
      <c r="G24" s="23" t="n">
        <v>65</v>
      </c>
      <c r="H24" s="21" t="n">
        <v>6</v>
      </c>
      <c r="I24" s="21" t="n">
        <v>7</v>
      </c>
      <c r="J24" s="5" t="s">
        <v>555</v>
      </c>
      <c r="K24" s="5" t="s">
        <v>650</v>
      </c>
      <c r="L24" s="5" t="s">
        <v>651</v>
      </c>
    </row>
    <row r="25" customFormat="false" ht="15" hidden="false" customHeight="false" outlineLevel="0" collapsed="false">
      <c r="A25" s="4" t="n">
        <v>21</v>
      </c>
      <c r="B25" s="4" t="s">
        <v>652</v>
      </c>
      <c r="C25" s="4" t="s">
        <v>653</v>
      </c>
      <c r="D25" s="4" t="s">
        <v>602</v>
      </c>
      <c r="E25" s="4" t="s">
        <v>579</v>
      </c>
      <c r="F25" s="4" t="s">
        <v>580</v>
      </c>
      <c r="G25" s="22" t="n">
        <v>100</v>
      </c>
      <c r="H25" s="20" t="n">
        <v>6</v>
      </c>
      <c r="I25" s="20" t="n">
        <v>7</v>
      </c>
      <c r="J25" s="4" t="s">
        <v>555</v>
      </c>
      <c r="K25" s="4" t="s">
        <v>654</v>
      </c>
      <c r="L25" s="4" t="s">
        <v>655</v>
      </c>
    </row>
    <row r="26" customFormat="false" ht="15" hidden="false" customHeight="false" outlineLevel="0" collapsed="false">
      <c r="A26" s="5" t="n">
        <v>22</v>
      </c>
      <c r="B26" s="5" t="s">
        <v>656</v>
      </c>
      <c r="C26" s="5" t="s">
        <v>653</v>
      </c>
      <c r="D26" s="5" t="s">
        <v>657</v>
      </c>
      <c r="E26" s="5" t="s">
        <v>597</v>
      </c>
      <c r="F26" s="5" t="s">
        <v>580</v>
      </c>
      <c r="G26" s="23" t="n">
        <v>110</v>
      </c>
      <c r="H26" s="21" t="n">
        <v>6</v>
      </c>
      <c r="I26" s="21" t="n">
        <v>7</v>
      </c>
      <c r="J26" s="5" t="s">
        <v>555</v>
      </c>
      <c r="K26" s="5" t="s">
        <v>658</v>
      </c>
      <c r="L26" s="5" t="s">
        <v>659</v>
      </c>
    </row>
    <row r="27" customFormat="false" ht="23.85" hidden="false" customHeight="false" outlineLevel="0" collapsed="false">
      <c r="A27" s="4" t="n">
        <v>23</v>
      </c>
      <c r="B27" s="4" t="s">
        <v>660</v>
      </c>
      <c r="C27" s="4" t="s">
        <v>559</v>
      </c>
      <c r="D27" s="4" t="s">
        <v>661</v>
      </c>
      <c r="E27" s="4" t="s">
        <v>445</v>
      </c>
      <c r="F27" s="4" t="s">
        <v>662</v>
      </c>
      <c r="G27" s="22" t="n">
        <v>0.1</v>
      </c>
      <c r="H27" s="20" t="n">
        <v>7</v>
      </c>
      <c r="I27" s="20" t="n">
        <v>8</v>
      </c>
      <c r="J27" s="4" t="s">
        <v>563</v>
      </c>
      <c r="K27" s="4" t="s">
        <v>663</v>
      </c>
      <c r="L27" s="4" t="s">
        <v>664</v>
      </c>
    </row>
    <row r="28" customFormat="false" ht="15" hidden="false" customHeight="false" outlineLevel="0" collapsed="false">
      <c r="A28" s="5" t="n">
        <v>24</v>
      </c>
      <c r="B28" s="5" t="s">
        <v>665</v>
      </c>
      <c r="C28" s="5" t="s">
        <v>666</v>
      </c>
      <c r="D28" s="5" t="s">
        <v>590</v>
      </c>
      <c r="E28" s="5" t="s">
        <v>445</v>
      </c>
      <c r="F28" s="5" t="s">
        <v>580</v>
      </c>
      <c r="G28" s="23" t="n">
        <v>0.3</v>
      </c>
      <c r="H28" s="21" t="n">
        <v>6</v>
      </c>
      <c r="I28" s="21" t="n">
        <v>7</v>
      </c>
      <c r="J28" s="5" t="s">
        <v>555</v>
      </c>
      <c r="K28" s="5" t="s">
        <v>667</v>
      </c>
      <c r="L28" s="5" t="s">
        <v>668</v>
      </c>
    </row>
    <row r="29" customFormat="false" ht="15" hidden="false" customHeight="false" outlineLevel="0" collapsed="false">
      <c r="A29" s="4" t="n">
        <v>25</v>
      </c>
      <c r="B29" s="4" t="s">
        <v>669</v>
      </c>
      <c r="C29" s="4" t="s">
        <v>666</v>
      </c>
      <c r="D29" s="4" t="s">
        <v>590</v>
      </c>
      <c r="E29" s="4" t="s">
        <v>597</v>
      </c>
      <c r="F29" s="4" t="s">
        <v>580</v>
      </c>
      <c r="G29" s="22" t="n">
        <v>50</v>
      </c>
      <c r="H29" s="20" t="n">
        <v>6</v>
      </c>
      <c r="I29" s="20" t="n">
        <v>7</v>
      </c>
      <c r="J29" s="4" t="s">
        <v>555</v>
      </c>
      <c r="K29" s="4" t="s">
        <v>670</v>
      </c>
      <c r="L29" s="4" t="s">
        <v>671</v>
      </c>
    </row>
    <row r="30" customFormat="false" ht="15" hidden="false" customHeight="false" outlineLevel="0" collapsed="false">
      <c r="A30" s="5" t="n">
        <v>26</v>
      </c>
      <c r="B30" s="5" t="s">
        <v>672</v>
      </c>
      <c r="C30" s="5" t="s">
        <v>559</v>
      </c>
      <c r="D30" s="5" t="s">
        <v>590</v>
      </c>
      <c r="E30" s="5" t="s">
        <v>645</v>
      </c>
      <c r="F30" s="5" t="s">
        <v>587</v>
      </c>
      <c r="G30" s="23" t="n">
        <v>50</v>
      </c>
      <c r="H30" s="21" t="n">
        <v>8</v>
      </c>
      <c r="I30" s="21" t="n">
        <v>8</v>
      </c>
      <c r="J30" s="5" t="s">
        <v>555</v>
      </c>
      <c r="K30" s="5" t="s">
        <v>673</v>
      </c>
      <c r="L30" s="5" t="s">
        <v>674</v>
      </c>
    </row>
    <row r="31" customFormat="false" ht="15" hidden="false" customHeight="false" outlineLevel="0" collapsed="false">
      <c r="A31" s="4" t="n">
        <v>27</v>
      </c>
      <c r="B31" s="4" t="s">
        <v>675</v>
      </c>
      <c r="C31" s="4" t="s">
        <v>559</v>
      </c>
      <c r="D31" s="4" t="s">
        <v>590</v>
      </c>
      <c r="E31" s="4" t="s">
        <v>645</v>
      </c>
      <c r="F31" s="4" t="s">
        <v>587</v>
      </c>
      <c r="G31" s="22" t="n">
        <v>32</v>
      </c>
      <c r="H31" s="20" t="n">
        <v>6</v>
      </c>
      <c r="I31" s="20" t="n">
        <v>7</v>
      </c>
      <c r="J31" s="4" t="s">
        <v>555</v>
      </c>
      <c r="K31" s="4" t="s">
        <v>676</v>
      </c>
      <c r="L31" s="4" t="s">
        <v>677</v>
      </c>
    </row>
    <row r="32" customFormat="false" ht="15" hidden="false" customHeight="false" outlineLevel="0" collapsed="false">
      <c r="A32" s="5" t="n">
        <v>28</v>
      </c>
      <c r="B32" s="5" t="s">
        <v>678</v>
      </c>
      <c r="C32" s="5" t="s">
        <v>559</v>
      </c>
      <c r="D32" s="5" t="s">
        <v>590</v>
      </c>
      <c r="E32" s="5" t="s">
        <v>597</v>
      </c>
      <c r="F32" s="5" t="s">
        <v>580</v>
      </c>
      <c r="G32" s="23" t="n">
        <v>2.5</v>
      </c>
      <c r="H32" s="21" t="n">
        <v>7</v>
      </c>
      <c r="I32" s="21" t="n">
        <v>8</v>
      </c>
      <c r="J32" s="5" t="s">
        <v>555</v>
      </c>
      <c r="K32" s="5" t="s">
        <v>679</v>
      </c>
      <c r="L32" s="5" t="s">
        <v>680</v>
      </c>
    </row>
    <row r="33" customFormat="false" ht="15" hidden="false" customHeight="false" outlineLevel="0" collapsed="false">
      <c r="A33" s="4" t="n">
        <v>29</v>
      </c>
      <c r="B33" s="4" t="s">
        <v>681</v>
      </c>
      <c r="C33" s="4" t="s">
        <v>559</v>
      </c>
      <c r="D33" s="4" t="s">
        <v>590</v>
      </c>
      <c r="E33" s="4" t="s">
        <v>614</v>
      </c>
      <c r="F33" s="4" t="s">
        <v>587</v>
      </c>
      <c r="G33" s="22" t="n">
        <v>20</v>
      </c>
      <c r="H33" s="20" t="n">
        <v>6</v>
      </c>
      <c r="I33" s="20" t="n">
        <v>7</v>
      </c>
      <c r="J33" s="4" t="s">
        <v>555</v>
      </c>
      <c r="K33" s="4" t="s">
        <v>682</v>
      </c>
      <c r="L33" s="4" t="s">
        <v>683</v>
      </c>
    </row>
    <row r="34" customFormat="false" ht="23.85" hidden="false" customHeight="false" outlineLevel="0" collapsed="false">
      <c r="A34" s="5" t="n">
        <v>30</v>
      </c>
      <c r="B34" s="5" t="s">
        <v>684</v>
      </c>
      <c r="C34" s="5" t="s">
        <v>559</v>
      </c>
      <c r="D34" s="5" t="s">
        <v>685</v>
      </c>
      <c r="E34" s="5" t="s">
        <v>591</v>
      </c>
      <c r="F34" s="5" t="s">
        <v>587</v>
      </c>
      <c r="G34" s="23" t="n">
        <v>0.6</v>
      </c>
      <c r="H34" s="21" t="n">
        <v>5</v>
      </c>
      <c r="I34" s="21" t="n">
        <v>6</v>
      </c>
      <c r="J34" s="5" t="s">
        <v>563</v>
      </c>
      <c r="K34" s="5" t="s">
        <v>686</v>
      </c>
      <c r="L34" s="5" t="s">
        <v>687</v>
      </c>
    </row>
    <row r="35" customFormat="false" ht="15" hidden="false" customHeight="false" outlineLevel="0" collapsed="false">
      <c r="A35" s="4" t="n">
        <v>31</v>
      </c>
      <c r="B35" s="4" t="s">
        <v>688</v>
      </c>
      <c r="C35" s="4" t="s">
        <v>559</v>
      </c>
      <c r="D35" s="4" t="s">
        <v>590</v>
      </c>
      <c r="E35" s="4" t="s">
        <v>597</v>
      </c>
      <c r="F35" s="4" t="s">
        <v>592</v>
      </c>
      <c r="G35" s="22" t="n">
        <v>10</v>
      </c>
      <c r="H35" s="20" t="n">
        <v>5</v>
      </c>
      <c r="I35" s="20" t="n">
        <v>6</v>
      </c>
      <c r="J35" s="4" t="s">
        <v>555</v>
      </c>
      <c r="K35" s="4" t="s">
        <v>689</v>
      </c>
      <c r="L35" s="4" t="s">
        <v>690</v>
      </c>
    </row>
    <row r="36" customFormat="false" ht="23.85" hidden="false" customHeight="false" outlineLevel="0" collapsed="false">
      <c r="A36" s="5" t="n">
        <v>32</v>
      </c>
      <c r="B36" s="5" t="s">
        <v>691</v>
      </c>
      <c r="C36" s="5" t="s">
        <v>559</v>
      </c>
      <c r="D36" s="5" t="s">
        <v>590</v>
      </c>
      <c r="E36" s="5" t="s">
        <v>614</v>
      </c>
      <c r="F36" s="5" t="s">
        <v>580</v>
      </c>
      <c r="G36" s="23" t="n">
        <v>50</v>
      </c>
      <c r="H36" s="21" t="n">
        <v>5</v>
      </c>
      <c r="I36" s="21" t="n">
        <v>6</v>
      </c>
      <c r="J36" s="5" t="s">
        <v>692</v>
      </c>
      <c r="K36" s="5" t="s">
        <v>693</v>
      </c>
      <c r="L36" s="5" t="s">
        <v>694</v>
      </c>
    </row>
    <row r="37" customFormat="false" ht="15" hidden="false" customHeight="false" outlineLevel="0" collapsed="false">
      <c r="A37" s="4" t="n">
        <v>33</v>
      </c>
      <c r="B37" s="4" t="s">
        <v>695</v>
      </c>
      <c r="C37" s="4" t="s">
        <v>636</v>
      </c>
      <c r="D37" s="4" t="s">
        <v>696</v>
      </c>
      <c r="E37" s="4" t="s">
        <v>697</v>
      </c>
      <c r="F37" s="4" t="s">
        <v>587</v>
      </c>
      <c r="G37" s="22" t="n">
        <v>5</v>
      </c>
      <c r="H37" s="20" t="n">
        <v>6</v>
      </c>
      <c r="I37" s="20" t="n">
        <v>7</v>
      </c>
      <c r="J37" s="4" t="s">
        <v>698</v>
      </c>
      <c r="K37" s="4" t="s">
        <v>699</v>
      </c>
      <c r="L37" s="4" t="s">
        <v>700</v>
      </c>
    </row>
    <row r="38" customFormat="false" ht="15" hidden="false" customHeight="false" outlineLevel="0" collapsed="false">
      <c r="A38" s="5" t="n">
        <v>34</v>
      </c>
      <c r="B38" s="5" t="s">
        <v>701</v>
      </c>
      <c r="C38" s="5" t="s">
        <v>702</v>
      </c>
      <c r="D38" s="5" t="s">
        <v>696</v>
      </c>
      <c r="E38" s="5" t="s">
        <v>697</v>
      </c>
      <c r="F38" s="5" t="s">
        <v>587</v>
      </c>
      <c r="G38" s="23" t="n">
        <v>500</v>
      </c>
      <c r="H38" s="21" t="n">
        <v>7</v>
      </c>
      <c r="I38" s="21" t="n">
        <v>8</v>
      </c>
      <c r="J38" s="5" t="s">
        <v>190</v>
      </c>
      <c r="K38" s="5" t="s">
        <v>190</v>
      </c>
      <c r="L38" s="5" t="s">
        <v>703</v>
      </c>
    </row>
    <row r="39" customFormat="false" ht="15" hidden="false" customHeight="false" outlineLevel="0" collapsed="false">
      <c r="A39" s="4" t="n">
        <v>35</v>
      </c>
      <c r="B39" s="4" t="s">
        <v>704</v>
      </c>
      <c r="C39" s="4" t="s">
        <v>567</v>
      </c>
      <c r="D39" s="4" t="s">
        <v>696</v>
      </c>
      <c r="E39" s="4" t="s">
        <v>697</v>
      </c>
      <c r="F39" s="4" t="s">
        <v>580</v>
      </c>
      <c r="G39" s="22" t="n">
        <v>20.5</v>
      </c>
      <c r="H39" s="20" t="n">
        <v>7</v>
      </c>
      <c r="I39" s="20" t="n">
        <v>8</v>
      </c>
      <c r="J39" s="4" t="s">
        <v>190</v>
      </c>
      <c r="K39" s="4" t="s">
        <v>190</v>
      </c>
      <c r="L39" s="4" t="s">
        <v>705</v>
      </c>
    </row>
    <row r="42" customFormat="false" ht="15" hidden="false" customHeight="false" outlineLevel="0" collapsed="false">
      <c r="A42" s="6" t="s">
        <v>706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customFormat="false" ht="15" hidden="false" customHeight="false" outlineLevel="0" collapsed="false">
      <c r="B43" s="12" t="s">
        <v>707</v>
      </c>
      <c r="G43" s="24" t="n">
        <f aca="false">COUNTA(B5:B39)</f>
        <v>35</v>
      </c>
    </row>
    <row r="44" customFormat="false" ht="15" hidden="false" customHeight="false" outlineLevel="0" collapsed="false">
      <c r="B44" s="12" t="s">
        <v>708</v>
      </c>
      <c r="G44" s="15" t="n">
        <f aca="false">SUM(G5:G39)</f>
        <v>3765.3</v>
      </c>
    </row>
    <row r="45" customFormat="false" ht="15" hidden="false" customHeight="false" outlineLevel="0" collapsed="false">
      <c r="B45" s="12" t="s">
        <v>709</v>
      </c>
      <c r="G45" s="25" t="n">
        <f aca="false">MEDIAN(G5:G39)</f>
        <v>20</v>
      </c>
    </row>
    <row r="46" customFormat="false" ht="15" hidden="false" customHeight="false" outlineLevel="0" collapsed="false">
      <c r="B46" s="12" t="s">
        <v>710</v>
      </c>
      <c r="G46" s="24" t="n">
        <f aca="false">COUNTIF(D5:D39,"*kerosene*")</f>
        <v>23</v>
      </c>
    </row>
    <row r="47" customFormat="false" ht="15" hidden="false" customHeight="false" outlineLevel="0" collapsed="false">
      <c r="B47" s="12" t="s">
        <v>711</v>
      </c>
      <c r="G47" s="24" t="n">
        <f aca="false">COUNTIF(D5:D39,"*methanol*")</f>
        <v>10</v>
      </c>
    </row>
    <row r="48" customFormat="false" ht="15" hidden="false" customHeight="false" outlineLevel="0" collapsed="false">
      <c r="B48" s="12" t="s">
        <v>712</v>
      </c>
      <c r="G48" s="24" t="n">
        <f aca="false">COUNTIF(D5:D39,"*ammonia*")</f>
        <v>3</v>
      </c>
    </row>
    <row r="49" customFormat="false" ht="15" hidden="false" customHeight="false" outlineLevel="0" collapsed="false">
      <c r="B49" s="12" t="s">
        <v>713</v>
      </c>
      <c r="G49" s="24" t="n">
        <f aca="false">COUNTIF(D5:D39,"*diesel*")</f>
        <v>8</v>
      </c>
    </row>
    <row r="50" customFormat="false" ht="15" hidden="false" customHeight="false" outlineLevel="0" collapsed="false">
      <c r="B50" s="12" t="s">
        <v>714</v>
      </c>
      <c r="G50" s="24" t="n">
        <f aca="false">COUNTIF(D5:D39,"*gasoline*")</f>
        <v>3</v>
      </c>
    </row>
    <row r="51" customFormat="false" ht="15" hidden="false" customHeight="false" outlineLevel="0" collapsed="false">
      <c r="B51" s="12" t="s">
        <v>715</v>
      </c>
      <c r="G51" s="24" t="n">
        <f aca="false">COUNTIF(D5:D39,"*DME*")</f>
        <v>1</v>
      </c>
    </row>
    <row r="52" customFormat="false" ht="15" hidden="false" customHeight="false" outlineLevel="0" collapsed="false">
      <c r="B52" s="12" t="s">
        <v>716</v>
      </c>
      <c r="G52" s="24" t="n">
        <f aca="false">COUNTIF(E5:E39,"*biogénique*")</f>
        <v>14</v>
      </c>
    </row>
    <row r="53" customFormat="false" ht="15" hidden="false" customHeight="false" outlineLevel="0" collapsed="false">
      <c r="B53" s="12" t="s">
        <v>717</v>
      </c>
      <c r="G53" s="24" t="n">
        <f aca="false">COUNTIF(E5:E39,"*DAC*")</f>
        <v>4</v>
      </c>
    </row>
    <row r="54" customFormat="false" ht="15" hidden="false" customHeight="false" outlineLevel="0" collapsed="false">
      <c r="B54" s="12" t="s">
        <v>718</v>
      </c>
      <c r="G54" s="24" t="n">
        <f aca="false">COUNTIF(F5:F39,"*olien*")</f>
        <v>12</v>
      </c>
    </row>
    <row r="55" customFormat="false" ht="15" hidden="false" customHeight="false" outlineLevel="0" collapsed="false">
      <c r="B55" s="12" t="s">
        <v>719</v>
      </c>
      <c r="G55" s="24" t="n">
        <f aca="false">COUNTIF(F5:F39,"*hotovolta*")+COUNTIF(F5:F39,"*PV*")</f>
        <v>13</v>
      </c>
    </row>
    <row r="56" customFormat="false" ht="15" hidden="false" customHeight="false" outlineLevel="0" collapsed="false">
      <c r="B56" s="12" t="s">
        <v>720</v>
      </c>
      <c r="G56" s="24" t="n">
        <f aca="false">COUNTIF(C5:C39,"Allemagne")</f>
        <v>11</v>
      </c>
    </row>
    <row r="57" customFormat="false" ht="15" hidden="false" customHeight="false" outlineLevel="0" collapsed="false">
      <c r="B57" s="12" t="s">
        <v>721</v>
      </c>
      <c r="G57" s="26" t="n">
        <f aca="false">AVERAGE(I5:I39)</f>
        <v>6.97142857142857</v>
      </c>
    </row>
    <row r="58" customFormat="false" ht="15" hidden="false" customHeight="false" outlineLevel="0" collapsed="false">
      <c r="B58" s="12" t="s">
        <v>722</v>
      </c>
      <c r="G58" s="24" t="n">
        <f aca="false">COUNTIF(I5:I39,"&gt;=7")</f>
        <v>27</v>
      </c>
    </row>
    <row r="59" customFormat="false" ht="15" hidden="false" customHeight="false" outlineLevel="0" collapsed="false">
      <c r="B59" s="12" t="s">
        <v>723</v>
      </c>
      <c r="G59" s="15" t="n">
        <f aca="false">SUMIF(G5:G39,"&gt;=100")</f>
        <v>3170</v>
      </c>
    </row>
    <row r="61" customFormat="false" ht="15" hidden="false" customHeight="false" outlineLevel="0" collapsed="false">
      <c r="A61" s="16" t="s">
        <v>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5" min="5" style="0" width="44"/>
    <col collapsed="false" customWidth="true" hidden="false" outlineLevel="0" max="6" min="6" style="0" width="22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725</v>
      </c>
    </row>
    <row r="2" customFormat="false" ht="15" hidden="false" customHeight="false" outlineLevel="0" collapsed="false">
      <c r="A2" s="2" t="s">
        <v>726</v>
      </c>
    </row>
    <row r="4" customFormat="false" ht="31.5" hidden="false" customHeight="true" outlineLevel="0" collapsed="false">
      <c r="A4" s="3" t="s">
        <v>540</v>
      </c>
      <c r="B4" s="3" t="s">
        <v>727</v>
      </c>
      <c r="C4" s="3" t="s">
        <v>728</v>
      </c>
      <c r="D4" s="3" t="s">
        <v>729</v>
      </c>
      <c r="E4" s="3" t="s">
        <v>730</v>
      </c>
      <c r="F4" s="3" t="s">
        <v>731</v>
      </c>
      <c r="G4" s="3" t="s">
        <v>284</v>
      </c>
    </row>
    <row r="5" customFormat="false" ht="23.85" hidden="false" customHeight="false" outlineLevel="0" collapsed="false">
      <c r="A5" s="4" t="s">
        <v>567</v>
      </c>
      <c r="B5" s="4" t="s">
        <v>732</v>
      </c>
      <c r="C5" s="8" t="n">
        <v>30</v>
      </c>
      <c r="D5" s="8" t="n">
        <v>45</v>
      </c>
      <c r="E5" s="4" t="s">
        <v>733</v>
      </c>
      <c r="F5" s="4" t="s">
        <v>734</v>
      </c>
      <c r="G5" s="4" t="s">
        <v>735</v>
      </c>
    </row>
    <row r="6" customFormat="false" ht="15" hidden="false" customHeight="false" outlineLevel="0" collapsed="false">
      <c r="A6" s="5" t="s">
        <v>623</v>
      </c>
      <c r="B6" s="5" t="s">
        <v>736</v>
      </c>
      <c r="C6" s="9" t="n">
        <v>40</v>
      </c>
      <c r="D6" s="9" t="n">
        <v>50</v>
      </c>
      <c r="E6" s="5" t="s">
        <v>737</v>
      </c>
      <c r="F6" s="5" t="s">
        <v>738</v>
      </c>
      <c r="G6" s="5" t="s">
        <v>739</v>
      </c>
    </row>
    <row r="7" customFormat="false" ht="15" hidden="false" customHeight="false" outlineLevel="0" collapsed="false">
      <c r="A7" s="4" t="s">
        <v>584</v>
      </c>
      <c r="B7" s="4" t="s">
        <v>740</v>
      </c>
      <c r="C7" s="8" t="n">
        <v>45</v>
      </c>
      <c r="D7" s="8" t="n">
        <v>65</v>
      </c>
      <c r="E7" s="4" t="s">
        <v>741</v>
      </c>
      <c r="F7" s="4" t="s">
        <v>734</v>
      </c>
      <c r="G7" s="4" t="s">
        <v>742</v>
      </c>
    </row>
    <row r="8" customFormat="false" ht="15" hidden="false" customHeight="false" outlineLevel="0" collapsed="false">
      <c r="A8" s="5" t="s">
        <v>743</v>
      </c>
      <c r="B8" s="5" t="s">
        <v>744</v>
      </c>
      <c r="C8" s="9" t="n">
        <v>50</v>
      </c>
      <c r="D8" s="9" t="n">
        <v>70</v>
      </c>
      <c r="E8" s="5" t="s">
        <v>745</v>
      </c>
      <c r="F8" s="5" t="s">
        <v>746</v>
      </c>
      <c r="G8" s="5" t="s">
        <v>747</v>
      </c>
    </row>
    <row r="9" customFormat="false" ht="15" hidden="false" customHeight="false" outlineLevel="0" collapsed="false">
      <c r="A9" s="4" t="s">
        <v>559</v>
      </c>
      <c r="B9" s="4" t="s">
        <v>748</v>
      </c>
      <c r="C9" s="8" t="n">
        <v>50</v>
      </c>
      <c r="D9" s="8" t="n">
        <v>80</v>
      </c>
      <c r="E9" s="4" t="s">
        <v>749</v>
      </c>
      <c r="F9" s="4" t="s">
        <v>734</v>
      </c>
      <c r="G9" s="4" t="s">
        <v>750</v>
      </c>
    </row>
    <row r="10" customFormat="false" ht="15" hidden="false" customHeight="false" outlineLevel="0" collapsed="false">
      <c r="A10" s="5" t="s">
        <v>613</v>
      </c>
      <c r="B10" s="5" t="s">
        <v>751</v>
      </c>
      <c r="C10" s="9" t="n">
        <v>40</v>
      </c>
      <c r="D10" s="9" t="n">
        <v>70</v>
      </c>
      <c r="E10" s="5" t="s">
        <v>752</v>
      </c>
      <c r="F10" s="5" t="s">
        <v>734</v>
      </c>
      <c r="G10" s="5" t="s">
        <v>753</v>
      </c>
    </row>
    <row r="11" customFormat="false" ht="15" hidden="false" customHeight="false" outlineLevel="0" collapsed="false">
      <c r="A11" s="4" t="s">
        <v>596</v>
      </c>
      <c r="B11" s="4" t="s">
        <v>754</v>
      </c>
      <c r="C11" s="8" t="n">
        <v>45</v>
      </c>
      <c r="D11" s="8" t="n">
        <v>70</v>
      </c>
      <c r="E11" s="4" t="s">
        <v>755</v>
      </c>
      <c r="F11" s="4" t="s">
        <v>756</v>
      </c>
      <c r="G11" s="4" t="s">
        <v>757</v>
      </c>
    </row>
    <row r="12" customFormat="false" ht="15" hidden="false" customHeight="false" outlineLevel="0" collapsed="false">
      <c r="A12" s="5" t="s">
        <v>758</v>
      </c>
      <c r="B12" s="5" t="s">
        <v>759</v>
      </c>
      <c r="C12" s="9" t="n">
        <v>25</v>
      </c>
      <c r="D12" s="9" t="n">
        <v>40</v>
      </c>
      <c r="E12" s="5" t="s">
        <v>445</v>
      </c>
      <c r="F12" s="5" t="s">
        <v>734</v>
      </c>
      <c r="G12" s="5" t="s">
        <v>760</v>
      </c>
    </row>
    <row r="13" customFormat="false" ht="23.85" hidden="false" customHeight="false" outlineLevel="0" collapsed="false">
      <c r="A13" s="27" t="s">
        <v>761</v>
      </c>
      <c r="B13" s="28" t="s">
        <v>762</v>
      </c>
      <c r="C13" s="29" t="n">
        <v>22</v>
      </c>
      <c r="D13" s="29" t="n">
        <v>45</v>
      </c>
      <c r="E13" s="28" t="s">
        <v>763</v>
      </c>
      <c r="F13" s="28" t="s">
        <v>764</v>
      </c>
      <c r="G13" s="28" t="s">
        <v>765</v>
      </c>
    </row>
    <row r="15" customFormat="false" ht="15" hidden="false" customHeight="false" outlineLevel="0" collapsed="false">
      <c r="A15" s="6" t="s">
        <v>706</v>
      </c>
      <c r="B15" s="7"/>
      <c r="C15" s="7"/>
      <c r="D15" s="7"/>
      <c r="E15" s="7"/>
      <c r="F15" s="7"/>
      <c r="G15" s="7"/>
    </row>
    <row r="16" customFormat="false" ht="15" hidden="false" customHeight="false" outlineLevel="0" collapsed="false">
      <c r="A16" s="12" t="s">
        <v>766</v>
      </c>
      <c r="C16" s="25" t="n">
        <f aca="false">AVERAGE(C5:D12)</f>
        <v>50.9375</v>
      </c>
    </row>
    <row r="17" customFormat="false" ht="15" hidden="false" customHeight="false" outlineLevel="0" collapsed="false">
      <c r="A17" s="12" t="s">
        <v>767</v>
      </c>
      <c r="C17" s="25" t="n">
        <f aca="false">AVERAGE(C13:D13)</f>
        <v>33.5</v>
      </c>
    </row>
    <row r="18" customFormat="false" ht="15" hidden="false" customHeight="false" outlineLevel="0" collapsed="false">
      <c r="A18" s="12" t="s">
        <v>768</v>
      </c>
      <c r="C18" s="30" t="n">
        <f aca="false">C17/C16-1</f>
        <v>-0.342331288343558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62"/>
    <col collapsed="false" customWidth="true" hidden="false" outlineLevel="0" max="5" min="5" style="0" width="18"/>
    <col collapsed="false" customWidth="true" hidden="false" outlineLevel="0" max="6" min="6" style="0" width="4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769</v>
      </c>
    </row>
    <row r="2" customFormat="false" ht="15" hidden="false" customHeight="false" outlineLevel="0" collapsed="false">
      <c r="A2" s="2" t="s">
        <v>770</v>
      </c>
    </row>
    <row r="4" customFormat="false" ht="31.5" hidden="false" customHeight="true" outlineLevel="0" collapsed="false">
      <c r="A4" s="3" t="s">
        <v>771</v>
      </c>
      <c r="B4" s="3" t="s">
        <v>340</v>
      </c>
      <c r="C4" s="3" t="s">
        <v>772</v>
      </c>
      <c r="D4" s="3" t="s">
        <v>773</v>
      </c>
      <c r="E4" s="3" t="s">
        <v>61</v>
      </c>
      <c r="F4" s="3" t="s">
        <v>774</v>
      </c>
      <c r="G4" s="3" t="s">
        <v>62</v>
      </c>
    </row>
    <row r="5" customFormat="false" ht="15" hidden="false" customHeight="false" outlineLevel="0" collapsed="false">
      <c r="A5" s="4" t="s">
        <v>775</v>
      </c>
      <c r="B5" s="4" t="s">
        <v>776</v>
      </c>
      <c r="C5" s="4" t="s">
        <v>777</v>
      </c>
      <c r="D5" s="4" t="s">
        <v>778</v>
      </c>
      <c r="E5" s="4" t="s">
        <v>779</v>
      </c>
      <c r="F5" s="4" t="s">
        <v>780</v>
      </c>
      <c r="G5" s="4" t="s">
        <v>135</v>
      </c>
    </row>
    <row r="6" customFormat="false" ht="15" hidden="false" customHeight="false" outlineLevel="0" collapsed="false">
      <c r="A6" s="5" t="s">
        <v>775</v>
      </c>
      <c r="B6" s="5" t="s">
        <v>547</v>
      </c>
      <c r="C6" s="5" t="s">
        <v>781</v>
      </c>
      <c r="D6" s="5" t="s">
        <v>782</v>
      </c>
      <c r="E6" s="5" t="s">
        <v>783</v>
      </c>
      <c r="F6" s="5" t="s">
        <v>784</v>
      </c>
      <c r="G6" s="5" t="s">
        <v>135</v>
      </c>
    </row>
    <row r="7" customFormat="false" ht="23.85" hidden="false" customHeight="false" outlineLevel="0" collapsed="false">
      <c r="A7" s="4" t="s">
        <v>775</v>
      </c>
      <c r="B7" s="4" t="s">
        <v>785</v>
      </c>
      <c r="C7" s="4" t="s">
        <v>786</v>
      </c>
      <c r="D7" s="4" t="s">
        <v>787</v>
      </c>
      <c r="E7" s="4" t="s">
        <v>115</v>
      </c>
      <c r="F7" s="4" t="s">
        <v>788</v>
      </c>
      <c r="G7" s="4" t="s">
        <v>135</v>
      </c>
    </row>
    <row r="8" customFormat="false" ht="23.85" hidden="false" customHeight="false" outlineLevel="0" collapsed="false">
      <c r="A8" s="5" t="s">
        <v>775</v>
      </c>
      <c r="B8" s="5" t="s">
        <v>789</v>
      </c>
      <c r="C8" s="5" t="s">
        <v>790</v>
      </c>
      <c r="D8" s="5" t="s">
        <v>791</v>
      </c>
      <c r="E8" s="5" t="s">
        <v>792</v>
      </c>
      <c r="F8" s="5" t="s">
        <v>793</v>
      </c>
      <c r="G8" s="5" t="s">
        <v>135</v>
      </c>
    </row>
    <row r="9" customFormat="false" ht="15" hidden="false" customHeight="false" outlineLevel="0" collapsed="false">
      <c r="A9" s="4" t="s">
        <v>775</v>
      </c>
      <c r="B9" s="4" t="s">
        <v>794</v>
      </c>
      <c r="C9" s="4" t="s">
        <v>795</v>
      </c>
      <c r="D9" s="4" t="s">
        <v>796</v>
      </c>
      <c r="E9" s="4" t="s">
        <v>115</v>
      </c>
      <c r="F9" s="4" t="s">
        <v>797</v>
      </c>
      <c r="G9" s="4" t="s">
        <v>135</v>
      </c>
    </row>
    <row r="10" customFormat="false" ht="15" hidden="false" customHeight="false" outlineLevel="0" collapsed="false">
      <c r="A10" s="5" t="s">
        <v>775</v>
      </c>
      <c r="B10" s="5" t="s">
        <v>798</v>
      </c>
      <c r="C10" s="5" t="s">
        <v>799</v>
      </c>
      <c r="D10" s="5" t="s">
        <v>800</v>
      </c>
      <c r="E10" s="5" t="s">
        <v>134</v>
      </c>
      <c r="F10" s="5" t="s">
        <v>801</v>
      </c>
      <c r="G10" s="5" t="s">
        <v>135</v>
      </c>
    </row>
    <row r="11" customFormat="false" ht="15" hidden="false" customHeight="false" outlineLevel="0" collapsed="false">
      <c r="A11" s="4" t="s">
        <v>775</v>
      </c>
      <c r="B11" s="4" t="s">
        <v>802</v>
      </c>
      <c r="C11" s="4" t="s">
        <v>803</v>
      </c>
      <c r="D11" s="4" t="s">
        <v>804</v>
      </c>
      <c r="E11" s="4" t="s">
        <v>115</v>
      </c>
      <c r="F11" s="4" t="s">
        <v>805</v>
      </c>
      <c r="G11" s="4" t="s">
        <v>135</v>
      </c>
    </row>
    <row r="12" customFormat="false" ht="15" hidden="false" customHeight="false" outlineLevel="0" collapsed="false">
      <c r="A12" s="5" t="s">
        <v>775</v>
      </c>
      <c r="B12" s="5" t="s">
        <v>806</v>
      </c>
      <c r="C12" s="5" t="s">
        <v>807</v>
      </c>
      <c r="D12" s="5" t="s">
        <v>808</v>
      </c>
      <c r="E12" s="5" t="s">
        <v>115</v>
      </c>
      <c r="F12" s="5" t="s">
        <v>806</v>
      </c>
      <c r="G12" s="5" t="s">
        <v>135</v>
      </c>
    </row>
    <row r="13" customFormat="false" ht="23.85" hidden="false" customHeight="false" outlineLevel="0" collapsed="false">
      <c r="A13" s="4" t="s">
        <v>775</v>
      </c>
      <c r="B13" s="4" t="s">
        <v>809</v>
      </c>
      <c r="C13" s="4" t="s">
        <v>810</v>
      </c>
      <c r="D13" s="4" t="s">
        <v>811</v>
      </c>
      <c r="E13" s="4" t="s">
        <v>115</v>
      </c>
      <c r="F13" s="4" t="s">
        <v>812</v>
      </c>
      <c r="G13" s="4" t="s">
        <v>135</v>
      </c>
    </row>
    <row r="14" customFormat="false" ht="23.85" hidden="false" customHeight="false" outlineLevel="0" collapsed="false">
      <c r="A14" s="5" t="s">
        <v>613</v>
      </c>
      <c r="B14" s="5" t="s">
        <v>813</v>
      </c>
      <c r="C14" s="5" t="s">
        <v>814</v>
      </c>
      <c r="D14" s="5" t="s">
        <v>815</v>
      </c>
      <c r="E14" s="5" t="s">
        <v>816</v>
      </c>
      <c r="F14" s="5" t="s">
        <v>817</v>
      </c>
      <c r="G14" s="5" t="s">
        <v>818</v>
      </c>
    </row>
    <row r="15" customFormat="false" ht="15" hidden="false" customHeight="false" outlineLevel="0" collapsed="false">
      <c r="A15" s="4" t="s">
        <v>613</v>
      </c>
      <c r="B15" s="4" t="s">
        <v>819</v>
      </c>
      <c r="C15" s="4" t="s">
        <v>820</v>
      </c>
      <c r="D15" s="4" t="s">
        <v>821</v>
      </c>
      <c r="E15" s="4" t="s">
        <v>115</v>
      </c>
      <c r="F15" s="4" t="s">
        <v>822</v>
      </c>
      <c r="G15" s="4" t="s">
        <v>818</v>
      </c>
    </row>
    <row r="16" customFormat="false" ht="15" hidden="false" customHeight="false" outlineLevel="0" collapsed="false">
      <c r="A16" s="5" t="s">
        <v>613</v>
      </c>
      <c r="B16" s="5" t="s">
        <v>823</v>
      </c>
      <c r="C16" s="5" t="s">
        <v>824</v>
      </c>
      <c r="D16" s="5" t="s">
        <v>825</v>
      </c>
      <c r="E16" s="5" t="s">
        <v>826</v>
      </c>
      <c r="F16" s="5" t="s">
        <v>827</v>
      </c>
      <c r="G16" s="5" t="s">
        <v>818</v>
      </c>
    </row>
    <row r="17" customFormat="false" ht="15" hidden="false" customHeight="false" outlineLevel="0" collapsed="false">
      <c r="A17" s="4" t="s">
        <v>613</v>
      </c>
      <c r="B17" s="4" t="s">
        <v>828</v>
      </c>
      <c r="C17" s="4" t="s">
        <v>829</v>
      </c>
      <c r="D17" s="4" t="s">
        <v>830</v>
      </c>
      <c r="E17" s="4" t="s">
        <v>115</v>
      </c>
      <c r="F17" s="4" t="s">
        <v>831</v>
      </c>
      <c r="G17" s="4" t="s">
        <v>818</v>
      </c>
    </row>
    <row r="18" customFormat="false" ht="15" hidden="false" customHeight="false" outlineLevel="0" collapsed="false">
      <c r="A18" s="5" t="s">
        <v>596</v>
      </c>
      <c r="B18" s="5" t="s">
        <v>776</v>
      </c>
      <c r="C18" s="5" t="s">
        <v>832</v>
      </c>
      <c r="D18" s="5" t="s">
        <v>833</v>
      </c>
      <c r="E18" s="5" t="s">
        <v>834</v>
      </c>
      <c r="F18" s="5" t="s">
        <v>835</v>
      </c>
      <c r="G18" s="5" t="s">
        <v>836</v>
      </c>
    </row>
    <row r="19" customFormat="false" ht="35.05" hidden="false" customHeight="false" outlineLevel="0" collapsed="false">
      <c r="A19" s="4" t="s">
        <v>596</v>
      </c>
      <c r="B19" s="4" t="s">
        <v>547</v>
      </c>
      <c r="C19" s="4" t="s">
        <v>837</v>
      </c>
      <c r="D19" s="4" t="s">
        <v>838</v>
      </c>
      <c r="E19" s="4" t="s">
        <v>115</v>
      </c>
      <c r="F19" s="4" t="s">
        <v>839</v>
      </c>
      <c r="G19" s="4" t="s">
        <v>836</v>
      </c>
    </row>
    <row r="20" customFormat="false" ht="15" hidden="false" customHeight="false" outlineLevel="0" collapsed="false">
      <c r="A20" s="5" t="s">
        <v>154</v>
      </c>
      <c r="B20" s="5" t="s">
        <v>776</v>
      </c>
      <c r="C20" s="5" t="s">
        <v>840</v>
      </c>
      <c r="D20" s="5" t="s">
        <v>841</v>
      </c>
      <c r="E20" s="5" t="s">
        <v>842</v>
      </c>
      <c r="F20" s="5" t="s">
        <v>115</v>
      </c>
      <c r="G20" s="5" t="s">
        <v>843</v>
      </c>
    </row>
    <row r="21" customFormat="false" ht="23.85" hidden="false" customHeight="false" outlineLevel="0" collapsed="false">
      <c r="A21" s="4" t="s">
        <v>154</v>
      </c>
      <c r="B21" s="4" t="s">
        <v>844</v>
      </c>
      <c r="C21" s="4" t="s">
        <v>845</v>
      </c>
      <c r="D21" s="4" t="s">
        <v>846</v>
      </c>
      <c r="E21" s="4" t="s">
        <v>847</v>
      </c>
      <c r="F21" s="4" t="s">
        <v>848</v>
      </c>
      <c r="G21" s="4" t="s">
        <v>843</v>
      </c>
    </row>
    <row r="22" customFormat="false" ht="15" hidden="false" customHeight="false" outlineLevel="0" collapsed="false">
      <c r="A22" s="5" t="s">
        <v>154</v>
      </c>
      <c r="B22" s="5" t="s">
        <v>849</v>
      </c>
      <c r="C22" s="5" t="s">
        <v>850</v>
      </c>
      <c r="D22" s="5" t="s">
        <v>851</v>
      </c>
      <c r="E22" s="5" t="s">
        <v>852</v>
      </c>
      <c r="F22" s="5" t="s">
        <v>853</v>
      </c>
      <c r="G22" s="5" t="s">
        <v>843</v>
      </c>
    </row>
    <row r="23" customFormat="false" ht="23.85" hidden="false" customHeight="false" outlineLevel="0" collapsed="false">
      <c r="A23" s="4" t="s">
        <v>154</v>
      </c>
      <c r="B23" s="4" t="s">
        <v>854</v>
      </c>
      <c r="C23" s="4" t="s">
        <v>855</v>
      </c>
      <c r="D23" s="4" t="s">
        <v>856</v>
      </c>
      <c r="E23" s="4" t="s">
        <v>857</v>
      </c>
      <c r="F23" s="4" t="s">
        <v>115</v>
      </c>
      <c r="G23" s="4" t="s">
        <v>843</v>
      </c>
    </row>
    <row r="25" customFormat="false" ht="15" hidden="false" customHeight="false" outlineLevel="0" collapsed="false">
      <c r="A25" s="6" t="s">
        <v>858</v>
      </c>
      <c r="B25" s="7"/>
      <c r="C25" s="7"/>
      <c r="D25" s="7"/>
      <c r="E25" s="7"/>
      <c r="F25" s="7"/>
      <c r="G25" s="7"/>
    </row>
    <row r="26" customFormat="false" ht="31.5" hidden="false" customHeight="true" outlineLevel="0" collapsed="false">
      <c r="A26" s="3" t="s">
        <v>859</v>
      </c>
      <c r="B26" s="3" t="s">
        <v>860</v>
      </c>
      <c r="C26" s="3" t="s">
        <v>861</v>
      </c>
      <c r="D26" s="3" t="s">
        <v>862</v>
      </c>
    </row>
    <row r="27" customFormat="false" ht="23.85" hidden="false" customHeight="false" outlineLevel="0" collapsed="false">
      <c r="A27" s="4" t="s">
        <v>863</v>
      </c>
      <c r="B27" s="4" t="s">
        <v>864</v>
      </c>
      <c r="C27" s="4" t="s">
        <v>865</v>
      </c>
      <c r="D27" s="31" t="n">
        <v>50</v>
      </c>
    </row>
    <row r="28" customFormat="false" ht="23.85" hidden="false" customHeight="false" outlineLevel="0" collapsed="false">
      <c r="A28" s="5" t="s">
        <v>866</v>
      </c>
      <c r="B28" s="5" t="s">
        <v>867</v>
      </c>
      <c r="C28" s="5" t="s">
        <v>868</v>
      </c>
      <c r="D28" s="32" t="n">
        <v>50</v>
      </c>
    </row>
    <row r="29" customFormat="false" ht="23.85" hidden="false" customHeight="false" outlineLevel="0" collapsed="false">
      <c r="A29" s="4" t="s">
        <v>869</v>
      </c>
      <c r="B29" s="4" t="s">
        <v>870</v>
      </c>
      <c r="C29" s="4" t="s">
        <v>871</v>
      </c>
      <c r="D29" s="31" t="n">
        <v>10</v>
      </c>
    </row>
    <row r="30" customFormat="false" ht="23.85" hidden="false" customHeight="false" outlineLevel="0" collapsed="false">
      <c r="A30" s="5" t="s">
        <v>872</v>
      </c>
      <c r="B30" s="5" t="s">
        <v>873</v>
      </c>
      <c r="C30" s="5" t="s">
        <v>865</v>
      </c>
      <c r="D30" s="32" t="n">
        <v>50</v>
      </c>
    </row>
    <row r="31" customFormat="false" ht="23.85" hidden="false" customHeight="false" outlineLevel="0" collapsed="false">
      <c r="A31" s="4" t="s">
        <v>874</v>
      </c>
      <c r="B31" s="4" t="s">
        <v>875</v>
      </c>
      <c r="C31" s="4" t="s">
        <v>876</v>
      </c>
      <c r="D31" s="31" t="n">
        <v>50</v>
      </c>
    </row>
    <row r="32" customFormat="false" ht="23.85" hidden="false" customHeight="false" outlineLevel="0" collapsed="false">
      <c r="A32" s="5" t="s">
        <v>877</v>
      </c>
      <c r="B32" s="5" t="s">
        <v>878</v>
      </c>
      <c r="C32" s="5" t="s">
        <v>879</v>
      </c>
      <c r="D32" s="32" t="n">
        <v>50</v>
      </c>
    </row>
    <row r="33" customFormat="false" ht="23.85" hidden="false" customHeight="false" outlineLevel="0" collapsed="false">
      <c r="A33" s="4" t="s">
        <v>880</v>
      </c>
      <c r="B33" s="4" t="s">
        <v>881</v>
      </c>
      <c r="C33" s="4" t="s">
        <v>882</v>
      </c>
      <c r="D33" s="31" t="n">
        <v>10</v>
      </c>
    </row>
    <row r="34" customFormat="false" ht="23.85" hidden="false" customHeight="false" outlineLevel="0" collapsed="false">
      <c r="A34" s="5" t="s">
        <v>883</v>
      </c>
      <c r="B34" s="5" t="s">
        <v>884</v>
      </c>
      <c r="C34" s="5" t="s">
        <v>885</v>
      </c>
      <c r="D34" s="32" t="n">
        <v>5</v>
      </c>
    </row>
    <row r="36" customFormat="false" ht="15" hidden="false" customHeight="false" outlineLevel="0" collapsed="false">
      <c r="A36" s="6" t="s">
        <v>886</v>
      </c>
      <c r="B36" s="7"/>
      <c r="C36" s="7"/>
      <c r="D36" s="7"/>
      <c r="E36" s="7"/>
      <c r="F36" s="7"/>
      <c r="G36" s="7"/>
    </row>
    <row r="37" customFormat="false" ht="31.5" hidden="false" customHeight="true" outlineLevel="0" collapsed="false">
      <c r="A37" s="3" t="s">
        <v>2</v>
      </c>
      <c r="B37" s="3" t="s">
        <v>773</v>
      </c>
      <c r="C37" s="3" t="s">
        <v>62</v>
      </c>
    </row>
    <row r="38" customFormat="false" ht="23.85" hidden="false" customHeight="false" outlineLevel="0" collapsed="false">
      <c r="A38" s="4" t="s">
        <v>887</v>
      </c>
      <c r="B38" s="4" t="s">
        <v>888</v>
      </c>
      <c r="C38" s="4" t="s">
        <v>139</v>
      </c>
    </row>
    <row r="39" customFormat="false" ht="46.25" hidden="false" customHeight="false" outlineLevel="0" collapsed="false">
      <c r="A39" s="5" t="s">
        <v>889</v>
      </c>
      <c r="B39" s="5" t="s">
        <v>890</v>
      </c>
      <c r="C39" s="5" t="s">
        <v>139</v>
      </c>
    </row>
    <row r="40" customFormat="false" ht="46.25" hidden="false" customHeight="false" outlineLevel="0" collapsed="false">
      <c r="A40" s="4" t="s">
        <v>891</v>
      </c>
      <c r="B40" s="4" t="s">
        <v>892</v>
      </c>
      <c r="C40" s="4" t="s">
        <v>139</v>
      </c>
    </row>
    <row r="41" customFormat="false" ht="23.85" hidden="false" customHeight="false" outlineLevel="0" collapsed="false">
      <c r="A41" s="5" t="s">
        <v>893</v>
      </c>
      <c r="B41" s="5" t="s">
        <v>894</v>
      </c>
      <c r="C41" s="5" t="s">
        <v>139</v>
      </c>
    </row>
    <row r="42" customFormat="false" ht="35.05" hidden="false" customHeight="false" outlineLevel="0" collapsed="false">
      <c r="A42" s="4" t="s">
        <v>895</v>
      </c>
      <c r="B42" s="4" t="s">
        <v>896</v>
      </c>
      <c r="C42" s="4" t="s">
        <v>139</v>
      </c>
    </row>
    <row r="43" customFormat="false" ht="35.05" hidden="false" customHeight="false" outlineLevel="0" collapsed="false">
      <c r="A43" s="5" t="s">
        <v>897</v>
      </c>
      <c r="B43" s="5" t="s">
        <v>898</v>
      </c>
      <c r="C43" s="5" t="s">
        <v>139</v>
      </c>
    </row>
    <row r="44" customFormat="false" ht="35.05" hidden="false" customHeight="false" outlineLevel="0" collapsed="false">
      <c r="A44" s="4" t="s">
        <v>899</v>
      </c>
      <c r="B44" s="4" t="s">
        <v>900</v>
      </c>
      <c r="C44" s="4" t="s">
        <v>901</v>
      </c>
    </row>
    <row r="45" customFormat="false" ht="57.45" hidden="false" customHeight="false" outlineLevel="0" collapsed="false">
      <c r="A45" s="5" t="s">
        <v>902</v>
      </c>
      <c r="B45" s="5" t="s">
        <v>903</v>
      </c>
      <c r="C45" s="5" t="s">
        <v>901</v>
      </c>
    </row>
    <row r="46" customFormat="false" ht="57.45" hidden="false" customHeight="false" outlineLevel="0" collapsed="false">
      <c r="A46" s="4" t="s">
        <v>401</v>
      </c>
      <c r="B46" s="4" t="s">
        <v>904</v>
      </c>
      <c r="C46" s="4" t="s">
        <v>901</v>
      </c>
    </row>
    <row r="47" customFormat="false" ht="57.45" hidden="false" customHeight="false" outlineLevel="0" collapsed="false">
      <c r="A47" s="5" t="s">
        <v>905</v>
      </c>
      <c r="B47" s="5" t="s">
        <v>906</v>
      </c>
      <c r="C47" s="5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8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907</v>
      </c>
    </row>
    <row r="2" customFormat="false" ht="15" hidden="false" customHeight="false" outlineLevel="0" collapsed="false">
      <c r="A2" s="2" t="s">
        <v>908</v>
      </c>
    </row>
    <row r="4" customFormat="false" ht="31.5" hidden="false" customHeight="true" outlineLevel="0" collapsed="false">
      <c r="A4" s="3" t="s">
        <v>340</v>
      </c>
      <c r="B4" s="3" t="s">
        <v>909</v>
      </c>
      <c r="C4" s="3" t="s">
        <v>910</v>
      </c>
      <c r="D4" s="3" t="s">
        <v>911</v>
      </c>
      <c r="E4" s="3" t="s">
        <v>912</v>
      </c>
      <c r="F4" s="3" t="s">
        <v>913</v>
      </c>
    </row>
    <row r="5" customFormat="false" ht="23.85" hidden="false" customHeight="false" outlineLevel="0" collapsed="false">
      <c r="A5" s="4" t="s">
        <v>914</v>
      </c>
      <c r="B5" s="4" t="s">
        <v>915</v>
      </c>
      <c r="C5" s="4" t="s">
        <v>916</v>
      </c>
      <c r="D5" s="4" t="s">
        <v>917</v>
      </c>
      <c r="E5" s="4" t="s">
        <v>918</v>
      </c>
      <c r="F5" s="4" t="s">
        <v>919</v>
      </c>
    </row>
    <row r="6" customFormat="false" ht="15" hidden="false" customHeight="false" outlineLevel="0" collapsed="false">
      <c r="A6" s="5" t="s">
        <v>914</v>
      </c>
      <c r="B6" s="5" t="s">
        <v>920</v>
      </c>
      <c r="C6" s="5" t="s">
        <v>921</v>
      </c>
      <c r="D6" s="5" t="s">
        <v>922</v>
      </c>
      <c r="E6" s="5" t="s">
        <v>923</v>
      </c>
      <c r="F6" s="5" t="s">
        <v>919</v>
      </c>
    </row>
    <row r="7" customFormat="false" ht="15" hidden="false" customHeight="false" outlineLevel="0" collapsed="false">
      <c r="A7" s="4" t="s">
        <v>914</v>
      </c>
      <c r="B7" s="4" t="s">
        <v>924</v>
      </c>
      <c r="C7" s="4" t="s">
        <v>916</v>
      </c>
      <c r="D7" s="4" t="s">
        <v>925</v>
      </c>
      <c r="E7" s="4" t="s">
        <v>926</v>
      </c>
      <c r="F7" s="4" t="s">
        <v>927</v>
      </c>
    </row>
    <row r="8" customFormat="false" ht="15" hidden="false" customHeight="false" outlineLevel="0" collapsed="false">
      <c r="A8" s="5" t="s">
        <v>914</v>
      </c>
      <c r="B8" s="5" t="s">
        <v>928</v>
      </c>
      <c r="C8" s="5" t="s">
        <v>921</v>
      </c>
      <c r="D8" s="5" t="s">
        <v>929</v>
      </c>
      <c r="E8" s="5" t="s">
        <v>930</v>
      </c>
      <c r="F8" s="5" t="s">
        <v>919</v>
      </c>
    </row>
    <row r="9" customFormat="false" ht="15" hidden="false" customHeight="false" outlineLevel="0" collapsed="false">
      <c r="A9" s="4" t="s">
        <v>931</v>
      </c>
      <c r="B9" s="4" t="s">
        <v>932</v>
      </c>
      <c r="C9" s="4" t="s">
        <v>916</v>
      </c>
      <c r="D9" s="4" t="s">
        <v>933</v>
      </c>
      <c r="E9" s="4" t="s">
        <v>934</v>
      </c>
      <c r="F9" s="4" t="s">
        <v>919</v>
      </c>
    </row>
    <row r="10" customFormat="false" ht="15" hidden="false" customHeight="false" outlineLevel="0" collapsed="false">
      <c r="A10" s="5" t="s">
        <v>931</v>
      </c>
      <c r="B10" s="5" t="s">
        <v>935</v>
      </c>
      <c r="C10" s="5" t="s">
        <v>916</v>
      </c>
      <c r="D10" s="5" t="s">
        <v>936</v>
      </c>
      <c r="E10" s="5" t="s">
        <v>937</v>
      </c>
      <c r="F10" s="5" t="s">
        <v>927</v>
      </c>
    </row>
    <row r="11" customFormat="false" ht="15" hidden="false" customHeight="false" outlineLevel="0" collapsed="false">
      <c r="A11" s="4" t="s">
        <v>931</v>
      </c>
      <c r="B11" s="4" t="s">
        <v>938</v>
      </c>
      <c r="C11" s="4" t="s">
        <v>916</v>
      </c>
      <c r="D11" s="4" t="s">
        <v>939</v>
      </c>
      <c r="E11" s="4" t="s">
        <v>940</v>
      </c>
      <c r="F11" s="4" t="s">
        <v>919</v>
      </c>
    </row>
    <row r="12" customFormat="false" ht="15" hidden="false" customHeight="false" outlineLevel="0" collapsed="false">
      <c r="A12" s="5" t="s">
        <v>941</v>
      </c>
      <c r="B12" s="5" t="s">
        <v>942</v>
      </c>
      <c r="C12" s="5" t="s">
        <v>916</v>
      </c>
      <c r="D12" s="5" t="s">
        <v>943</v>
      </c>
      <c r="E12" s="5" t="s">
        <v>944</v>
      </c>
      <c r="F12" s="5" t="s">
        <v>919</v>
      </c>
    </row>
    <row r="13" customFormat="false" ht="15" hidden="false" customHeight="false" outlineLevel="0" collapsed="false">
      <c r="A13" s="4" t="s">
        <v>941</v>
      </c>
      <c r="B13" s="4" t="s">
        <v>945</v>
      </c>
      <c r="C13" s="4" t="s">
        <v>921</v>
      </c>
      <c r="D13" s="4" t="s">
        <v>946</v>
      </c>
      <c r="E13" s="4" t="s">
        <v>947</v>
      </c>
      <c r="F13" s="4" t="s">
        <v>919</v>
      </c>
    </row>
    <row r="14" customFormat="false" ht="15" hidden="false" customHeight="false" outlineLevel="0" collapsed="false">
      <c r="A14" s="5" t="s">
        <v>941</v>
      </c>
      <c r="B14" s="5" t="s">
        <v>948</v>
      </c>
      <c r="C14" s="5" t="s">
        <v>921</v>
      </c>
      <c r="D14" s="5" t="s">
        <v>949</v>
      </c>
      <c r="E14" s="5" t="s">
        <v>950</v>
      </c>
      <c r="F14" s="5" t="s">
        <v>919</v>
      </c>
    </row>
    <row r="15" customFormat="false" ht="23.85" hidden="false" customHeight="false" outlineLevel="0" collapsed="false">
      <c r="A15" s="4" t="s">
        <v>806</v>
      </c>
      <c r="B15" s="4" t="s">
        <v>951</v>
      </c>
      <c r="C15" s="4" t="s">
        <v>921</v>
      </c>
      <c r="D15" s="4" t="s">
        <v>952</v>
      </c>
      <c r="E15" s="4" t="s">
        <v>953</v>
      </c>
      <c r="F15" s="4" t="s">
        <v>919</v>
      </c>
    </row>
    <row r="16" customFormat="false" ht="15" hidden="false" customHeight="false" outlineLevel="0" collapsed="false">
      <c r="A16" s="5" t="s">
        <v>954</v>
      </c>
      <c r="B16" s="5" t="s">
        <v>955</v>
      </c>
      <c r="C16" s="5" t="s">
        <v>921</v>
      </c>
      <c r="D16" s="5" t="s">
        <v>956</v>
      </c>
      <c r="E16" s="5" t="s">
        <v>957</v>
      </c>
      <c r="F16" s="5" t="s">
        <v>919</v>
      </c>
    </row>
    <row r="17" customFormat="false" ht="15" hidden="false" customHeight="false" outlineLevel="0" collapsed="false">
      <c r="A17" s="4" t="s">
        <v>954</v>
      </c>
      <c r="B17" s="4" t="s">
        <v>958</v>
      </c>
      <c r="C17" s="4" t="s">
        <v>916</v>
      </c>
      <c r="D17" s="4" t="s">
        <v>925</v>
      </c>
      <c r="E17" s="4" t="s">
        <v>959</v>
      </c>
      <c r="F17" s="4" t="s">
        <v>919</v>
      </c>
    </row>
    <row r="18" customFormat="false" ht="15" hidden="false" customHeight="false" outlineLevel="0" collapsed="false">
      <c r="A18" s="5" t="s">
        <v>960</v>
      </c>
      <c r="B18" s="5" t="s">
        <v>961</v>
      </c>
      <c r="C18" s="5" t="s">
        <v>921</v>
      </c>
      <c r="D18" s="5" t="s">
        <v>933</v>
      </c>
      <c r="E18" s="5" t="s">
        <v>962</v>
      </c>
      <c r="F18" s="5" t="s">
        <v>919</v>
      </c>
    </row>
    <row r="19" customFormat="false" ht="23.85" hidden="false" customHeight="false" outlineLevel="0" collapsed="false">
      <c r="A19" s="4" t="s">
        <v>761</v>
      </c>
      <c r="B19" s="4" t="s">
        <v>963</v>
      </c>
      <c r="C19" s="4" t="s">
        <v>921</v>
      </c>
      <c r="D19" s="4" t="s">
        <v>115</v>
      </c>
      <c r="E19" s="4" t="s">
        <v>964</v>
      </c>
      <c r="F19" s="4" t="s">
        <v>8</v>
      </c>
    </row>
    <row r="20" customFormat="false" ht="15" hidden="false" customHeight="false" outlineLevel="0" collapsed="false">
      <c r="A20" s="5" t="s">
        <v>761</v>
      </c>
      <c r="B20" s="5" t="s">
        <v>965</v>
      </c>
      <c r="C20" s="5" t="s">
        <v>916</v>
      </c>
      <c r="D20" s="5" t="s">
        <v>115</v>
      </c>
      <c r="E20" s="5" t="s">
        <v>966</v>
      </c>
      <c r="F20" s="5" t="s">
        <v>8</v>
      </c>
    </row>
    <row r="21" customFormat="false" ht="15" hidden="false" customHeight="false" outlineLevel="0" collapsed="false">
      <c r="A21" s="4" t="s">
        <v>761</v>
      </c>
      <c r="B21" s="4" t="s">
        <v>967</v>
      </c>
      <c r="C21" s="4" t="s">
        <v>921</v>
      </c>
      <c r="D21" s="4" t="s">
        <v>115</v>
      </c>
      <c r="E21" s="4" t="s">
        <v>968</v>
      </c>
      <c r="F21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  <col collapsed="false" customWidth="true" hidden="false" outlineLevel="0" max="3" min="3" style="0" width="12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969</v>
      </c>
    </row>
    <row r="2" customFormat="false" ht="15" hidden="false" customHeight="false" outlineLevel="0" collapsed="false">
      <c r="A2" s="2" t="s">
        <v>970</v>
      </c>
    </row>
    <row r="4" customFormat="false" ht="31.5" hidden="false" customHeight="true" outlineLevel="0" collapsed="false">
      <c r="A4" s="3" t="s">
        <v>59</v>
      </c>
      <c r="B4" s="3" t="s">
        <v>2</v>
      </c>
      <c r="C4" s="3" t="s">
        <v>971</v>
      </c>
      <c r="D4" s="3" t="s">
        <v>972</v>
      </c>
    </row>
    <row r="5" customFormat="false" ht="23.85" hidden="false" customHeight="false" outlineLevel="0" collapsed="false">
      <c r="A5" s="4" t="s">
        <v>973</v>
      </c>
      <c r="B5" s="4" t="s">
        <v>974</v>
      </c>
      <c r="C5" s="33" t="s">
        <v>975</v>
      </c>
      <c r="D5" s="4" t="s">
        <v>976</v>
      </c>
    </row>
    <row r="6" customFormat="false" ht="15" hidden="false" customHeight="false" outlineLevel="0" collapsed="false">
      <c r="A6" s="5" t="s">
        <v>977</v>
      </c>
      <c r="B6" s="5" t="s">
        <v>978</v>
      </c>
      <c r="C6" s="33" t="s">
        <v>979</v>
      </c>
      <c r="D6" s="5" t="s">
        <v>980</v>
      </c>
    </row>
    <row r="7" customFormat="false" ht="23.85" hidden="false" customHeight="false" outlineLevel="0" collapsed="false">
      <c r="A7" s="4" t="s">
        <v>981</v>
      </c>
      <c r="B7" s="4" t="s">
        <v>982</v>
      </c>
      <c r="C7" s="33" t="s">
        <v>975</v>
      </c>
      <c r="D7" s="4" t="s">
        <v>983</v>
      </c>
    </row>
    <row r="8" customFormat="false" ht="23.85" hidden="false" customHeight="false" outlineLevel="0" collapsed="false">
      <c r="A8" s="5" t="s">
        <v>984</v>
      </c>
      <c r="B8" s="5" t="s">
        <v>985</v>
      </c>
      <c r="C8" s="33" t="s">
        <v>975</v>
      </c>
      <c r="D8" s="5" t="s">
        <v>986</v>
      </c>
    </row>
    <row r="9" customFormat="false" ht="23.85" hidden="false" customHeight="false" outlineLevel="0" collapsed="false">
      <c r="A9" s="4" t="s">
        <v>987</v>
      </c>
      <c r="B9" s="4" t="s">
        <v>988</v>
      </c>
      <c r="C9" s="33" t="s">
        <v>975</v>
      </c>
      <c r="D9" s="4" t="s">
        <v>989</v>
      </c>
    </row>
    <row r="10" customFormat="false" ht="15" hidden="false" customHeight="false" outlineLevel="0" collapsed="false">
      <c r="A10" s="5" t="s">
        <v>121</v>
      </c>
      <c r="B10" s="5" t="s">
        <v>990</v>
      </c>
      <c r="C10" s="33" t="s">
        <v>975</v>
      </c>
      <c r="D10" s="5" t="s">
        <v>991</v>
      </c>
    </row>
    <row r="11" customFormat="false" ht="23.85" hidden="false" customHeight="false" outlineLevel="0" collapsed="false">
      <c r="A11" s="4" t="s">
        <v>992</v>
      </c>
      <c r="B11" s="4" t="s">
        <v>993</v>
      </c>
      <c r="C11" s="33" t="s">
        <v>975</v>
      </c>
      <c r="D11" s="4" t="s">
        <v>994</v>
      </c>
    </row>
    <row r="12" customFormat="false" ht="23.85" hidden="false" customHeight="false" outlineLevel="0" collapsed="false">
      <c r="A12" s="5" t="s">
        <v>995</v>
      </c>
      <c r="B12" s="5" t="s">
        <v>996</v>
      </c>
      <c r="C12" s="33" t="s">
        <v>975</v>
      </c>
      <c r="D12" s="5" t="s">
        <v>997</v>
      </c>
    </row>
    <row r="13" customFormat="false" ht="23.85" hidden="false" customHeight="false" outlineLevel="0" collapsed="false">
      <c r="A13" s="4" t="s">
        <v>998</v>
      </c>
      <c r="B13" s="4" t="s">
        <v>999</v>
      </c>
      <c r="C13" s="33" t="s">
        <v>975</v>
      </c>
      <c r="D13" s="4" t="s">
        <v>1000</v>
      </c>
    </row>
    <row r="14" customFormat="false" ht="15" hidden="false" customHeight="false" outlineLevel="0" collapsed="false">
      <c r="A14" s="5" t="s">
        <v>1001</v>
      </c>
      <c r="B14" s="5" t="s">
        <v>1002</v>
      </c>
      <c r="C14" s="33" t="s">
        <v>979</v>
      </c>
      <c r="D14" s="5" t="s">
        <v>1003</v>
      </c>
    </row>
    <row r="15" customFormat="false" ht="15" hidden="false" customHeight="false" outlineLevel="0" collapsed="false">
      <c r="A15" s="4" t="s">
        <v>1004</v>
      </c>
      <c r="B15" s="4" t="s">
        <v>1005</v>
      </c>
      <c r="C15" s="33" t="s">
        <v>979</v>
      </c>
      <c r="D15" s="4" t="s">
        <v>1006</v>
      </c>
    </row>
    <row r="16" customFormat="false" ht="15" hidden="false" customHeight="false" outlineLevel="0" collapsed="false">
      <c r="A16" s="5" t="s">
        <v>547</v>
      </c>
      <c r="B16" s="5" t="s">
        <v>1007</v>
      </c>
      <c r="C16" s="33" t="s">
        <v>979</v>
      </c>
      <c r="D16" s="5" t="s">
        <v>1008</v>
      </c>
    </row>
    <row r="18" customFormat="false" ht="15" hidden="false" customHeight="false" outlineLevel="0" collapsed="false">
      <c r="A18" s="6" t="s">
        <v>1009</v>
      </c>
      <c r="B18" s="7"/>
      <c r="C18" s="7"/>
      <c r="D18" s="7"/>
    </row>
    <row r="19" customFormat="false" ht="31.5" hidden="false" customHeight="true" outlineLevel="0" collapsed="false">
      <c r="A19" s="3" t="s">
        <v>538</v>
      </c>
      <c r="B19" s="3" t="s">
        <v>1010</v>
      </c>
    </row>
    <row r="20" customFormat="false" ht="15" hidden="false" customHeight="false" outlineLevel="0" collapsed="false">
      <c r="A20" s="4" t="s">
        <v>1011</v>
      </c>
      <c r="B20" s="4" t="s">
        <v>1012</v>
      </c>
    </row>
    <row r="21" customFormat="false" ht="15" hidden="false" customHeight="false" outlineLevel="0" collapsed="false">
      <c r="A21" s="5" t="s">
        <v>390</v>
      </c>
      <c r="B21" s="5" t="s">
        <v>1013</v>
      </c>
    </row>
    <row r="22" customFormat="false" ht="15" hidden="false" customHeight="false" outlineLevel="0" collapsed="false">
      <c r="A22" s="4" t="s">
        <v>378</v>
      </c>
      <c r="B22" s="4" t="s">
        <v>1014</v>
      </c>
    </row>
    <row r="23" customFormat="false" ht="15" hidden="false" customHeight="false" outlineLevel="0" collapsed="false">
      <c r="A23" s="5" t="s">
        <v>1015</v>
      </c>
      <c r="B23" s="5" t="s">
        <v>1016</v>
      </c>
    </row>
    <row r="24" customFormat="false" ht="15" hidden="false" customHeight="false" outlineLevel="0" collapsed="false">
      <c r="A24" s="4" t="s">
        <v>1017</v>
      </c>
      <c r="B24" s="4" t="s">
        <v>1018</v>
      </c>
    </row>
    <row r="25" customFormat="false" ht="15" hidden="false" customHeight="false" outlineLevel="0" collapsed="false">
      <c r="A25" s="5" t="s">
        <v>389</v>
      </c>
      <c r="B25" s="5" t="s">
        <v>1019</v>
      </c>
    </row>
    <row r="26" customFormat="false" ht="15" hidden="false" customHeight="false" outlineLevel="0" collapsed="false">
      <c r="A26" s="4" t="s">
        <v>1020</v>
      </c>
      <c r="B26" s="4" t="s">
        <v>1021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78"/>
    <col collapsed="false" customWidth="true" hidden="false" outlineLevel="0" max="6" min="4" style="0" width="16"/>
    <col collapsed="false" customWidth="true" hidden="false" outlineLevel="0" max="7" min="7" style="0" width="62"/>
  </cols>
  <sheetData>
    <row r="1" customFormat="false" ht="17.35" hidden="false" customHeight="false" outlineLevel="0" collapsed="false">
      <c r="A1" s="1" t="s">
        <v>1022</v>
      </c>
    </row>
    <row r="2" customFormat="false" ht="15" hidden="false" customHeight="false" outlineLevel="0" collapsed="false">
      <c r="A2" s="2" t="s">
        <v>1023</v>
      </c>
    </row>
    <row r="4" customFormat="false" ht="31.5" hidden="false" customHeight="true" outlineLevel="0" collapsed="false">
      <c r="A4" s="3" t="s">
        <v>1024</v>
      </c>
      <c r="B4" s="3" t="s">
        <v>1025</v>
      </c>
      <c r="C4" s="3" t="s">
        <v>1026</v>
      </c>
      <c r="D4" s="3" t="s">
        <v>1027</v>
      </c>
      <c r="E4" s="3" t="s">
        <v>1028</v>
      </c>
      <c r="F4" s="3" t="s">
        <v>1029</v>
      </c>
      <c r="G4" s="3" t="s">
        <v>1030</v>
      </c>
    </row>
    <row r="5" customFormat="false" ht="23.85" hidden="false" customHeight="false" outlineLevel="0" collapsed="false">
      <c r="A5" s="4" t="s">
        <v>1031</v>
      </c>
      <c r="B5" s="4" t="s">
        <v>1032</v>
      </c>
      <c r="C5" s="4" t="s">
        <v>1033</v>
      </c>
      <c r="D5" s="4" t="s">
        <v>1034</v>
      </c>
      <c r="E5" s="4" t="s">
        <v>921</v>
      </c>
      <c r="F5" s="4" t="s">
        <v>916</v>
      </c>
      <c r="G5" s="4" t="s">
        <v>1035</v>
      </c>
    </row>
    <row r="6" customFormat="false" ht="23.85" hidden="false" customHeight="false" outlineLevel="0" collapsed="false">
      <c r="A6" s="5" t="s">
        <v>1036</v>
      </c>
      <c r="B6" s="5" t="s">
        <v>1037</v>
      </c>
      <c r="C6" s="5" t="s">
        <v>1038</v>
      </c>
      <c r="D6" s="5" t="s">
        <v>1034</v>
      </c>
      <c r="E6" s="5" t="s">
        <v>916</v>
      </c>
      <c r="F6" s="5" t="s">
        <v>1039</v>
      </c>
      <c r="G6" s="5" t="s">
        <v>1040</v>
      </c>
    </row>
    <row r="7" customFormat="false" ht="23.85" hidden="false" customHeight="false" outlineLevel="0" collapsed="false">
      <c r="A7" s="4" t="s">
        <v>1041</v>
      </c>
      <c r="B7" s="4" t="s">
        <v>1042</v>
      </c>
      <c r="C7" s="4" t="s">
        <v>1043</v>
      </c>
      <c r="D7" s="4" t="s">
        <v>1034</v>
      </c>
      <c r="E7" s="4" t="s">
        <v>921</v>
      </c>
      <c r="F7" s="4" t="s">
        <v>921</v>
      </c>
      <c r="G7" s="4" t="s">
        <v>1044</v>
      </c>
    </row>
    <row r="8" customFormat="false" ht="23.85" hidden="false" customHeight="false" outlineLevel="0" collapsed="false">
      <c r="A8" s="5" t="s">
        <v>1045</v>
      </c>
      <c r="B8" s="5" t="s">
        <v>1046</v>
      </c>
      <c r="C8" s="5" t="s">
        <v>1047</v>
      </c>
      <c r="D8" s="5" t="s">
        <v>1034</v>
      </c>
      <c r="E8" s="5" t="s">
        <v>979</v>
      </c>
      <c r="F8" s="5" t="s">
        <v>1039</v>
      </c>
      <c r="G8" s="5" t="s">
        <v>1048</v>
      </c>
    </row>
    <row r="9" customFormat="false" ht="23.85" hidden="false" customHeight="false" outlineLevel="0" collapsed="false">
      <c r="A9" s="4" t="s">
        <v>1049</v>
      </c>
      <c r="B9" s="4" t="s">
        <v>1050</v>
      </c>
      <c r="C9" s="4" t="s">
        <v>1051</v>
      </c>
      <c r="D9" s="4" t="s">
        <v>921</v>
      </c>
      <c r="E9" s="4" t="s">
        <v>921</v>
      </c>
      <c r="F9" s="4" t="s">
        <v>921</v>
      </c>
      <c r="G9" s="4" t="s">
        <v>1052</v>
      </c>
    </row>
    <row r="10" customFormat="false" ht="23.85" hidden="false" customHeight="false" outlineLevel="0" collapsed="false">
      <c r="A10" s="5" t="s">
        <v>1053</v>
      </c>
      <c r="B10" s="5" t="s">
        <v>1054</v>
      </c>
      <c r="C10" s="5" t="s">
        <v>1055</v>
      </c>
      <c r="D10" s="5" t="s">
        <v>1034</v>
      </c>
      <c r="E10" s="5" t="s">
        <v>979</v>
      </c>
      <c r="F10" s="5" t="s">
        <v>921</v>
      </c>
      <c r="G10" s="5" t="s">
        <v>1056</v>
      </c>
    </row>
    <row r="11" customFormat="false" ht="15" hidden="false" customHeight="false" outlineLevel="0" collapsed="false">
      <c r="A11" s="4" t="s">
        <v>1057</v>
      </c>
      <c r="B11" s="4" t="s">
        <v>1058</v>
      </c>
      <c r="C11" s="4" t="s">
        <v>1059</v>
      </c>
      <c r="D11" s="4" t="s">
        <v>921</v>
      </c>
      <c r="E11" s="4" t="s">
        <v>921</v>
      </c>
      <c r="F11" s="4" t="s">
        <v>921</v>
      </c>
      <c r="G11" s="4" t="s">
        <v>1060</v>
      </c>
    </row>
    <row r="12" customFormat="false" ht="23.85" hidden="false" customHeight="false" outlineLevel="0" collapsed="false">
      <c r="A12" s="5" t="s">
        <v>1061</v>
      </c>
      <c r="B12" s="5" t="s">
        <v>1062</v>
      </c>
      <c r="C12" s="5" t="s">
        <v>1063</v>
      </c>
      <c r="D12" s="5" t="s">
        <v>921</v>
      </c>
      <c r="E12" s="5" t="s">
        <v>916</v>
      </c>
      <c r="F12" s="5" t="s">
        <v>916</v>
      </c>
      <c r="G12" s="5" t="s">
        <v>1064</v>
      </c>
    </row>
    <row r="13" customFormat="false" ht="15" hidden="false" customHeight="false" outlineLevel="0" collapsed="false">
      <c r="A13" s="4" t="s">
        <v>1065</v>
      </c>
      <c r="B13" s="4" t="s">
        <v>1066</v>
      </c>
      <c r="C13" s="4" t="s">
        <v>1067</v>
      </c>
      <c r="D13" s="4" t="s">
        <v>1034</v>
      </c>
      <c r="E13" s="4" t="s">
        <v>979</v>
      </c>
      <c r="F13" s="4" t="s">
        <v>979</v>
      </c>
      <c r="G13" s="4" t="s">
        <v>1068</v>
      </c>
    </row>
    <row r="14" customFormat="false" ht="15" hidden="false" customHeight="false" outlineLevel="0" collapsed="false">
      <c r="A14" s="5" t="s">
        <v>1069</v>
      </c>
      <c r="B14" s="5" t="s">
        <v>1070</v>
      </c>
      <c r="C14" s="5" t="s">
        <v>1071</v>
      </c>
      <c r="D14" s="5" t="s">
        <v>1034</v>
      </c>
      <c r="E14" s="5" t="s">
        <v>979</v>
      </c>
      <c r="F14" s="5" t="s">
        <v>979</v>
      </c>
      <c r="G14" s="5" t="s">
        <v>1072</v>
      </c>
    </row>
    <row r="15" customFormat="false" ht="23.85" hidden="false" customHeight="false" outlineLevel="0" collapsed="false">
      <c r="A15" s="4" t="s">
        <v>1073</v>
      </c>
      <c r="B15" s="4" t="s">
        <v>1074</v>
      </c>
      <c r="C15" s="4" t="s">
        <v>1075</v>
      </c>
      <c r="D15" s="4" t="s">
        <v>921</v>
      </c>
      <c r="E15" s="4" t="s">
        <v>921</v>
      </c>
      <c r="F15" s="4" t="s">
        <v>921</v>
      </c>
      <c r="G15" s="4" t="s">
        <v>1076</v>
      </c>
    </row>
    <row r="16" customFormat="false" ht="15" hidden="false" customHeight="false" outlineLevel="0" collapsed="false">
      <c r="A16" s="5" t="s">
        <v>1077</v>
      </c>
      <c r="B16" s="5" t="s">
        <v>1078</v>
      </c>
      <c r="C16" s="5" t="s">
        <v>1079</v>
      </c>
      <c r="D16" s="5" t="s">
        <v>921</v>
      </c>
      <c r="E16" s="5" t="s">
        <v>916</v>
      </c>
      <c r="F16" s="5" t="s">
        <v>921</v>
      </c>
      <c r="G16" s="5" t="s">
        <v>1080</v>
      </c>
    </row>
    <row r="17" customFormat="false" ht="23.85" hidden="false" customHeight="false" outlineLevel="0" collapsed="false">
      <c r="A17" s="4" t="s">
        <v>1081</v>
      </c>
      <c r="B17" s="4" t="s">
        <v>1082</v>
      </c>
      <c r="C17" s="4" t="s">
        <v>1083</v>
      </c>
      <c r="D17" s="4" t="s">
        <v>1034</v>
      </c>
      <c r="E17" s="4" t="s">
        <v>979</v>
      </c>
      <c r="F17" s="4" t="s">
        <v>979</v>
      </c>
      <c r="G17" s="4" t="s">
        <v>1084</v>
      </c>
    </row>
    <row r="18" customFormat="false" ht="15" hidden="false" customHeight="false" outlineLevel="0" collapsed="false">
      <c r="A18" s="5" t="s">
        <v>1085</v>
      </c>
      <c r="B18" s="5" t="s">
        <v>1086</v>
      </c>
      <c r="C18" s="5" t="s">
        <v>1087</v>
      </c>
      <c r="D18" s="5" t="s">
        <v>1034</v>
      </c>
      <c r="E18" s="5" t="s">
        <v>921</v>
      </c>
      <c r="F18" s="5" t="s">
        <v>979</v>
      </c>
      <c r="G18" s="5" t="s">
        <v>1088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N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2" style="0" width="16"/>
  </cols>
  <sheetData>
    <row r="1" customFormat="false" ht="17.35" hidden="false" customHeight="false" outlineLevel="0" collapsed="false">
      <c r="A1" s="1" t="s">
        <v>1089</v>
      </c>
    </row>
    <row r="2" customFormat="false" ht="15" hidden="false" customHeight="false" outlineLevel="0" collapsed="false">
      <c r="A2" s="2" t="s">
        <v>1090</v>
      </c>
    </row>
    <row r="4" customFormat="false" ht="15" hidden="false" customHeight="false" outlineLevel="0" collapsed="false">
      <c r="A4" s="6" t="s">
        <v>1091</v>
      </c>
      <c r="B4" s="7"/>
      <c r="C4" s="7"/>
      <c r="D4" s="7"/>
    </row>
    <row r="5" customFormat="false" ht="15" hidden="false" customHeight="false" outlineLevel="0" collapsed="false">
      <c r="A5" s="3" t="s">
        <v>336</v>
      </c>
      <c r="B5" s="3" t="s">
        <v>507</v>
      </c>
      <c r="C5" s="3" t="s">
        <v>1092</v>
      </c>
      <c r="D5" s="3" t="s">
        <v>1093</v>
      </c>
    </row>
    <row r="6" customFormat="false" ht="15" hidden="false" customHeight="false" outlineLevel="0" collapsed="false">
      <c r="A6" s="34" t="s">
        <v>1094</v>
      </c>
      <c r="B6" s="35" t="n">
        <v>30</v>
      </c>
      <c r="C6" s="34" t="s">
        <v>1095</v>
      </c>
      <c r="D6" s="36" t="s">
        <v>1096</v>
      </c>
    </row>
    <row r="7" customFormat="false" ht="15" hidden="false" customHeight="false" outlineLevel="0" collapsed="false">
      <c r="A7" s="34" t="s">
        <v>1097</v>
      </c>
      <c r="B7" s="37" t="n">
        <v>5000</v>
      </c>
      <c r="C7" s="34" t="s">
        <v>1098</v>
      </c>
      <c r="D7" s="36" t="s">
        <v>1099</v>
      </c>
    </row>
    <row r="8" customFormat="false" ht="15" hidden="false" customHeight="false" outlineLevel="0" collapsed="false">
      <c r="A8" s="34" t="s">
        <v>1100</v>
      </c>
      <c r="B8" s="14" t="s">
        <v>338</v>
      </c>
      <c r="C8" s="34" t="s">
        <v>1101</v>
      </c>
      <c r="D8" s="36" t="s">
        <v>1102</v>
      </c>
    </row>
    <row r="9" customFormat="false" ht="15" hidden="false" customHeight="false" outlineLevel="0" collapsed="false">
      <c r="A9" s="34" t="s">
        <v>1103</v>
      </c>
      <c r="B9" s="14" t="s">
        <v>436</v>
      </c>
      <c r="C9" s="34" t="s">
        <v>1104</v>
      </c>
      <c r="D9" s="36" t="s">
        <v>1105</v>
      </c>
    </row>
    <row r="10" customFormat="false" ht="15" hidden="false" customHeight="false" outlineLevel="0" collapsed="false">
      <c r="A10" s="34" t="s">
        <v>1106</v>
      </c>
      <c r="B10" s="38" t="n">
        <v>0.08</v>
      </c>
      <c r="C10" s="34" t="s">
        <v>1107</v>
      </c>
      <c r="D10" s="36" t="s">
        <v>1108</v>
      </c>
    </row>
    <row r="11" customFormat="false" ht="15" hidden="false" customHeight="false" outlineLevel="0" collapsed="false">
      <c r="A11" s="34" t="s">
        <v>1109</v>
      </c>
      <c r="B11" s="39" t="n">
        <v>20</v>
      </c>
      <c r="C11" s="34" t="s">
        <v>1110</v>
      </c>
      <c r="D11" s="36" t="s">
        <v>8</v>
      </c>
    </row>
    <row r="12" customFormat="false" ht="15" hidden="false" customHeight="false" outlineLevel="0" collapsed="false">
      <c r="A12" s="34" t="s">
        <v>1111</v>
      </c>
      <c r="B12" s="40" t="n">
        <f aca="false">IF($B$10=0,1/$B$11,$B$10*(1+$B$10)^$B$11/((1+$B$10)^$B$11-1))</f>
        <v>0.101852208823151</v>
      </c>
      <c r="C12" s="34" t="s">
        <v>1112</v>
      </c>
      <c r="D12" s="36" t="s">
        <v>10</v>
      </c>
    </row>
    <row r="13" customFormat="false" ht="15" hidden="false" customHeight="false" outlineLevel="0" collapsed="false">
      <c r="A13" s="34" t="s">
        <v>1113</v>
      </c>
      <c r="B13" s="41" t="n">
        <v>0.92</v>
      </c>
      <c r="C13" s="34" t="s">
        <v>1114</v>
      </c>
      <c r="D13" s="36" t="s">
        <v>8</v>
      </c>
    </row>
    <row r="14" customFormat="false" ht="15" hidden="false" customHeight="false" outlineLevel="0" collapsed="false">
      <c r="A14" s="34" t="s">
        <v>1115</v>
      </c>
      <c r="B14" s="41" t="n">
        <v>2</v>
      </c>
      <c r="C14" s="34" t="s">
        <v>1116</v>
      </c>
      <c r="D14" s="36" t="s">
        <v>1117</v>
      </c>
    </row>
    <row r="15" customFormat="false" ht="15" hidden="false" customHeight="false" outlineLevel="0" collapsed="false">
      <c r="A15" s="34" t="s">
        <v>1118</v>
      </c>
      <c r="B15" s="42" t="n">
        <v>8.92</v>
      </c>
      <c r="C15" s="34" t="s">
        <v>1119</v>
      </c>
      <c r="D15" s="36" t="s">
        <v>124</v>
      </c>
    </row>
    <row r="16" customFormat="false" ht="15" hidden="false" customHeight="false" outlineLevel="0" collapsed="false">
      <c r="A16" s="34" t="s">
        <v>1120</v>
      </c>
      <c r="B16" s="43" t="n">
        <v>0.25</v>
      </c>
      <c r="C16" s="34" t="s">
        <v>1107</v>
      </c>
      <c r="D16" s="36" t="s">
        <v>1121</v>
      </c>
    </row>
    <row r="17" customFormat="false" ht="15" hidden="false" customHeight="false" outlineLevel="0" collapsed="false">
      <c r="A17" s="34" t="s">
        <v>1122</v>
      </c>
      <c r="B17" s="44" t="n">
        <f aca="false">$B$15*(1+$B$16)</f>
        <v>11.15</v>
      </c>
      <c r="C17" s="34" t="s">
        <v>1119</v>
      </c>
      <c r="D17" s="36" t="s">
        <v>10</v>
      </c>
    </row>
    <row r="18" customFormat="false" ht="15" hidden="false" customHeight="false" outlineLevel="0" collapsed="false">
      <c r="A18" s="34" t="s">
        <v>1123</v>
      </c>
      <c r="B18" s="45" t="n">
        <v>0.08988</v>
      </c>
      <c r="C18" s="34" t="s">
        <v>1124</v>
      </c>
      <c r="D18" s="36" t="s">
        <v>1125</v>
      </c>
    </row>
    <row r="19" customFormat="false" ht="15" hidden="false" customHeight="false" outlineLevel="0" collapsed="false">
      <c r="A19" s="34" t="s">
        <v>1126</v>
      </c>
      <c r="B19" s="46" t="n">
        <v>0.9</v>
      </c>
      <c r="C19" s="34" t="s">
        <v>1107</v>
      </c>
      <c r="D19" s="36" t="s">
        <v>8</v>
      </c>
    </row>
    <row r="20" customFormat="false" ht="15" hidden="false" customHeight="false" outlineLevel="0" collapsed="false">
      <c r="A20" s="34" t="s">
        <v>1127</v>
      </c>
      <c r="B20" s="38" t="n">
        <v>0.04</v>
      </c>
      <c r="C20" s="34" t="s">
        <v>1128</v>
      </c>
      <c r="D20" s="36" t="s">
        <v>8</v>
      </c>
    </row>
    <row r="21" customFormat="false" ht="15" hidden="false" customHeight="false" outlineLevel="0" collapsed="false">
      <c r="A21" s="34" t="s">
        <v>1129</v>
      </c>
      <c r="B21" s="46" t="n">
        <v>0.95</v>
      </c>
      <c r="C21" s="34" t="s">
        <v>1107</v>
      </c>
      <c r="D21" s="36" t="s">
        <v>8</v>
      </c>
    </row>
    <row r="22" customFormat="false" ht="15" hidden="false" customHeight="false" outlineLevel="0" collapsed="false">
      <c r="A22" s="34" t="s">
        <v>1130</v>
      </c>
      <c r="B22" s="42" t="n">
        <v>0.11</v>
      </c>
      <c r="C22" s="34" t="s">
        <v>1131</v>
      </c>
      <c r="D22" s="36" t="s">
        <v>120</v>
      </c>
    </row>
    <row r="23" customFormat="false" ht="15" hidden="false" customHeight="false" outlineLevel="0" collapsed="false">
      <c r="A23" s="34" t="s">
        <v>1132</v>
      </c>
      <c r="B23" s="47" t="n">
        <v>2.016</v>
      </c>
      <c r="C23" s="34" t="s">
        <v>1133</v>
      </c>
      <c r="D23" s="36" t="s">
        <v>1134</v>
      </c>
    </row>
    <row r="24" customFormat="false" ht="15" hidden="false" customHeight="false" outlineLevel="0" collapsed="false">
      <c r="A24" s="34" t="s">
        <v>1135</v>
      </c>
      <c r="B24" s="42" t="n">
        <v>44.01</v>
      </c>
      <c r="C24" s="34" t="s">
        <v>1133</v>
      </c>
      <c r="D24" s="36" t="s">
        <v>1134</v>
      </c>
    </row>
    <row r="25" customFormat="false" ht="15" hidden="false" customHeight="false" outlineLevel="0" collapsed="false">
      <c r="A25" s="34" t="s">
        <v>1136</v>
      </c>
      <c r="B25" s="47" t="n">
        <v>28.014</v>
      </c>
      <c r="C25" s="34" t="s">
        <v>1133</v>
      </c>
      <c r="D25" s="36" t="s">
        <v>1134</v>
      </c>
    </row>
    <row r="26" customFormat="false" ht="15" hidden="false" customHeight="false" outlineLevel="0" collapsed="false">
      <c r="A26" s="34" t="s">
        <v>1137</v>
      </c>
      <c r="B26" s="42" t="n">
        <v>32.04</v>
      </c>
      <c r="C26" s="34" t="s">
        <v>1133</v>
      </c>
      <c r="D26" s="36" t="s">
        <v>1134</v>
      </c>
    </row>
    <row r="27" customFormat="false" ht="15" hidden="false" customHeight="false" outlineLevel="0" collapsed="false">
      <c r="A27" s="34" t="s">
        <v>1138</v>
      </c>
      <c r="B27" s="42" t="n">
        <v>46.07</v>
      </c>
      <c r="C27" s="34" t="s">
        <v>1133</v>
      </c>
      <c r="D27" s="36" t="s">
        <v>1134</v>
      </c>
    </row>
    <row r="28" customFormat="false" ht="15" hidden="false" customHeight="false" outlineLevel="0" collapsed="false">
      <c r="A28" s="34" t="s">
        <v>1139</v>
      </c>
      <c r="B28" s="47" t="n">
        <v>17.031</v>
      </c>
      <c r="C28" s="34" t="s">
        <v>1133</v>
      </c>
      <c r="D28" s="36" t="s">
        <v>1134</v>
      </c>
    </row>
    <row r="29" customFormat="false" ht="15" hidden="false" customHeight="false" outlineLevel="0" collapsed="false">
      <c r="A29" s="34" t="s">
        <v>1140</v>
      </c>
      <c r="B29" s="47" t="n">
        <v>14.027</v>
      </c>
      <c r="C29" s="34" t="s">
        <v>1133</v>
      </c>
      <c r="D29" s="36" t="s">
        <v>1141</v>
      </c>
    </row>
    <row r="31" customFormat="false" ht="15" hidden="false" customHeight="false" outlineLevel="0" collapsed="false">
      <c r="A31" s="6" t="s">
        <v>1142</v>
      </c>
      <c r="B31" s="7"/>
      <c r="C31" s="7"/>
      <c r="D31" s="7"/>
      <c r="E31" s="7"/>
      <c r="F31" s="7"/>
      <c r="G31" s="7"/>
      <c r="H31" s="7"/>
    </row>
    <row r="32" customFormat="false" ht="15" hidden="false" customHeight="false" outlineLevel="0" collapsed="false">
      <c r="A32" s="3" t="s">
        <v>1143</v>
      </c>
      <c r="B32" s="3" t="s">
        <v>1144</v>
      </c>
      <c r="C32" s="3" t="s">
        <v>1145</v>
      </c>
      <c r="D32" s="3" t="s">
        <v>418</v>
      </c>
      <c r="E32" s="3" t="s">
        <v>419</v>
      </c>
      <c r="F32" s="3" t="s">
        <v>1146</v>
      </c>
      <c r="G32" s="3" t="s">
        <v>1147</v>
      </c>
    </row>
    <row r="33" customFormat="false" ht="15" hidden="false" customHeight="false" outlineLevel="0" collapsed="false">
      <c r="A33" s="48" t="str">
        <f aca="false">Electrolyse!A25</f>
        <v>AEL</v>
      </c>
      <c r="B33" s="49" t="n">
        <f aca="false">Electrolyse!B25</f>
        <v>800</v>
      </c>
      <c r="C33" s="49" t="n">
        <f aca="false">Electrolyse!C25</f>
        <v>1500</v>
      </c>
      <c r="D33" s="49" t="n">
        <f aca="false">Electrolyse!D25</f>
        <v>5</v>
      </c>
      <c r="E33" s="49" t="n">
        <f aca="false">Electrolyse!E25</f>
        <v>5.9</v>
      </c>
      <c r="F33" s="49" t="n">
        <f aca="false">Electrolyse!F25</f>
        <v>2</v>
      </c>
      <c r="G33" s="49" t="n">
        <f aca="false">Electrolyse!G25</f>
        <v>3</v>
      </c>
    </row>
    <row r="34" customFormat="false" ht="15" hidden="false" customHeight="false" outlineLevel="0" collapsed="false">
      <c r="A34" s="48" t="str">
        <f aca="false">Electrolyse!A26</f>
        <v>PEM</v>
      </c>
      <c r="B34" s="49" t="n">
        <f aca="false">Electrolyse!B26</f>
        <v>1400</v>
      </c>
      <c r="C34" s="49" t="n">
        <f aca="false">Electrolyse!C26</f>
        <v>2100</v>
      </c>
      <c r="D34" s="49" t="n">
        <f aca="false">Electrolyse!D26</f>
        <v>5</v>
      </c>
      <c r="E34" s="49" t="n">
        <f aca="false">Electrolyse!E26</f>
        <v>5.6</v>
      </c>
      <c r="F34" s="49" t="n">
        <f aca="false">Electrolyse!F26</f>
        <v>3</v>
      </c>
      <c r="G34" s="49" t="n">
        <f aca="false">Electrolyse!G26</f>
        <v>5</v>
      </c>
    </row>
    <row r="35" customFormat="false" ht="15" hidden="false" customHeight="false" outlineLevel="0" collapsed="false">
      <c r="A35" s="48" t="str">
        <f aca="false">Electrolyse!A27</f>
        <v>SOEC</v>
      </c>
      <c r="B35" s="49" t="n">
        <f aca="false">Electrolyse!B27</f>
        <v>2000</v>
      </c>
      <c r="C35" s="49" t="n">
        <f aca="false">Electrolyse!C27</f>
        <v>2500</v>
      </c>
      <c r="D35" s="49" t="n">
        <f aca="false">Electrolyse!D27</f>
        <v>3.7</v>
      </c>
      <c r="E35" s="49" t="n">
        <f aca="false">Electrolyse!E27</f>
        <v>3.9</v>
      </c>
      <c r="F35" s="49" t="n">
        <f aca="false">Electrolyse!F27</f>
        <v>3</v>
      </c>
      <c r="G35" s="49" t="n">
        <f aca="false">Electrolyse!G27</f>
        <v>5</v>
      </c>
    </row>
    <row r="37" customFormat="false" ht="23.85" hidden="false" customHeight="false" outlineLevel="0" collapsed="false">
      <c r="A37" s="3" t="s">
        <v>1148</v>
      </c>
      <c r="B37" s="3" t="s">
        <v>1149</v>
      </c>
      <c r="C37" s="3" t="s">
        <v>1150</v>
      </c>
      <c r="D37" s="3" t="s">
        <v>1151</v>
      </c>
    </row>
    <row r="38" customFormat="false" ht="15" hidden="false" customHeight="false" outlineLevel="0" collapsed="false">
      <c r="A38" s="34" t="s">
        <v>436</v>
      </c>
      <c r="B38" s="50" t="n">
        <f aca="false">Capture_CO2!B5</f>
        <v>50</v>
      </c>
      <c r="C38" s="50" t="n">
        <f aca="false">Capture_CO2!C5</f>
        <v>100</v>
      </c>
      <c r="D38" s="41" t="n">
        <v>0.25</v>
      </c>
      <c r="E38" s="51" t="s">
        <v>1152</v>
      </c>
    </row>
    <row r="39" customFormat="false" ht="15" hidden="false" customHeight="false" outlineLevel="0" collapsed="false">
      <c r="A39" s="34" t="s">
        <v>445</v>
      </c>
      <c r="B39" s="50" t="n">
        <f aca="false">Capture_CO2!B9</f>
        <v>235</v>
      </c>
      <c r="C39" s="50" t="n">
        <f aca="false">Capture_CO2!C9</f>
        <v>600</v>
      </c>
      <c r="D39" s="42" t="n">
        <f aca="false">(1.5+2.5)/2+(0.5+1)/2</f>
        <v>2.75</v>
      </c>
      <c r="E39" s="51" t="s">
        <v>1153</v>
      </c>
    </row>
    <row r="40" customFormat="false" ht="15" hidden="false" customHeight="false" outlineLevel="0" collapsed="false">
      <c r="A40" s="16" t="s">
        <v>1154</v>
      </c>
    </row>
    <row r="42" customFormat="false" ht="15" hidden="false" customHeight="false" outlineLevel="0" collapsed="false">
      <c r="A42" s="6" t="s">
        <v>1155</v>
      </c>
      <c r="B42" s="7"/>
      <c r="C42" s="7"/>
      <c r="D42" s="7"/>
    </row>
    <row r="43" customFormat="false" ht="15" hidden="false" customHeight="false" outlineLevel="0" collapsed="false">
      <c r="A43" s="3" t="s">
        <v>336</v>
      </c>
      <c r="B43" s="3" t="s">
        <v>507</v>
      </c>
      <c r="C43" s="3" t="s">
        <v>1092</v>
      </c>
      <c r="D43" s="3" t="s">
        <v>1093</v>
      </c>
    </row>
    <row r="44" customFormat="false" ht="15" hidden="false" customHeight="false" outlineLevel="0" collapsed="false">
      <c r="A44" s="34" t="s">
        <v>1156</v>
      </c>
      <c r="B44" s="44" t="n">
        <f aca="false">AVERAGE(INDEX($D$33:$D$35,MATCH($B$8,$A$33:$A$35,0)),INDEX($E$33:$E$35,MATCH($B$8,$A$33:$A$35,0)))</f>
        <v>5.3</v>
      </c>
      <c r="C44" s="34" t="s">
        <v>1157</v>
      </c>
      <c r="D44" s="36" t="s">
        <v>1158</v>
      </c>
    </row>
    <row r="45" customFormat="false" ht="15" hidden="false" customHeight="false" outlineLevel="0" collapsed="false">
      <c r="A45" s="34" t="s">
        <v>1156</v>
      </c>
      <c r="B45" s="52" t="n">
        <f aca="false">$B$44/$B$18</f>
        <v>58.9675122385403</v>
      </c>
      <c r="C45" s="34" t="s">
        <v>1159</v>
      </c>
      <c r="D45" s="36" t="s">
        <v>1160</v>
      </c>
    </row>
    <row r="46" customFormat="false" ht="15" hidden="false" customHeight="false" outlineLevel="0" collapsed="false">
      <c r="A46" s="34" t="s">
        <v>1161</v>
      </c>
      <c r="B46" s="53" t="n">
        <f aca="false">AVERAGE(INDEX($B$33:$B$35,MATCH($B$8,$A$33:$A$35,0)),INDEX($C$33:$C$35,MATCH($B$8,$A$33:$A$35,0)))</f>
        <v>1750</v>
      </c>
      <c r="C46" s="34" t="s">
        <v>1162</v>
      </c>
      <c r="D46" s="36" t="s">
        <v>1158</v>
      </c>
    </row>
    <row r="47" customFormat="false" ht="15" hidden="false" customHeight="false" outlineLevel="0" collapsed="false">
      <c r="A47" s="34" t="s">
        <v>1163</v>
      </c>
      <c r="B47" s="54" t="n">
        <f aca="false">AVERAGE(INDEX($F$33:$F$35,MATCH($B$8,$A$33:$A$35,0)),INDEX($G$33:$G$35,MATCH($B$8,$A$33:$A$35,0)))/100</f>
        <v>0.04</v>
      </c>
      <c r="C47" s="34" t="s">
        <v>1128</v>
      </c>
      <c r="D47" s="36" t="s">
        <v>1158</v>
      </c>
    </row>
    <row r="48" customFormat="false" ht="15" hidden="false" customHeight="false" outlineLevel="0" collapsed="false">
      <c r="A48" s="34" t="s">
        <v>1164</v>
      </c>
      <c r="B48" s="53" t="n">
        <f aca="false">IF($B$9="DAC",AVERAGE($B$39:$C$39),AVERAGE($B$38:$C$38))</f>
        <v>75</v>
      </c>
      <c r="C48" s="34" t="s">
        <v>1165</v>
      </c>
      <c r="D48" s="36" t="s">
        <v>1166</v>
      </c>
    </row>
    <row r="49" customFormat="false" ht="15" hidden="false" customHeight="false" outlineLevel="0" collapsed="false">
      <c r="A49" s="34" t="s">
        <v>1167</v>
      </c>
      <c r="B49" s="55" t="n">
        <f aca="false">$B$48*$B$13</f>
        <v>69</v>
      </c>
      <c r="C49" s="34" t="s">
        <v>1168</v>
      </c>
      <c r="D49" s="36" t="s">
        <v>10</v>
      </c>
    </row>
    <row r="50" customFormat="false" ht="15" hidden="false" customHeight="false" outlineLevel="0" collapsed="false">
      <c r="A50" s="34" t="s">
        <v>1169</v>
      </c>
      <c r="B50" s="44" t="n">
        <f aca="false">IF($B$9="DAC",$D$39,$D$38)</f>
        <v>0.25</v>
      </c>
      <c r="C50" s="34" t="s">
        <v>1170</v>
      </c>
      <c r="D50" s="36" t="s">
        <v>10</v>
      </c>
    </row>
    <row r="52" customFormat="false" ht="15" hidden="false" customHeight="false" outlineLevel="0" collapsed="false">
      <c r="A52" s="6" t="s">
        <v>1171</v>
      </c>
      <c r="B52" s="7"/>
      <c r="C52" s="7"/>
      <c r="D52" s="7"/>
    </row>
    <row r="53" customFormat="false" ht="15" hidden="false" customHeight="false" outlineLevel="0" collapsed="false">
      <c r="A53" s="3" t="s">
        <v>1172</v>
      </c>
      <c r="B53" s="3" t="s">
        <v>507</v>
      </c>
      <c r="C53" s="3" t="s">
        <v>1092</v>
      </c>
      <c r="D53" s="3" t="s">
        <v>1173</v>
      </c>
    </row>
    <row r="54" customFormat="false" ht="15" hidden="false" customHeight="false" outlineLevel="0" collapsed="false">
      <c r="A54" s="34" t="s">
        <v>117</v>
      </c>
      <c r="B54" s="44" t="n">
        <f aca="false">$B$6*$B$45/1000</f>
        <v>1.76902536715621</v>
      </c>
      <c r="C54" s="34" t="s">
        <v>1174</v>
      </c>
      <c r="D54" s="36" t="s">
        <v>1175</v>
      </c>
    </row>
    <row r="55" customFormat="false" ht="15" hidden="false" customHeight="false" outlineLevel="0" collapsed="false">
      <c r="A55" s="34" t="s">
        <v>1176</v>
      </c>
      <c r="B55" s="44" t="n">
        <f aca="false">$B$46*($B$12+$B$47)/($B$7/$B$45)</f>
        <v>2.92763515094509</v>
      </c>
      <c r="C55" s="34" t="s">
        <v>1174</v>
      </c>
      <c r="D55" s="36" t="s">
        <v>1177</v>
      </c>
    </row>
    <row r="56" customFormat="false" ht="15" hidden="false" customHeight="false" outlineLevel="0" collapsed="false">
      <c r="A56" s="34" t="s">
        <v>121</v>
      </c>
      <c r="B56" s="56" t="n">
        <f aca="false">$B$14*$B$17/1000</f>
        <v>0.0223</v>
      </c>
      <c r="C56" s="34" t="s">
        <v>1174</v>
      </c>
      <c r="D56" s="36" t="s">
        <v>1178</v>
      </c>
    </row>
    <row r="57" customFormat="false" ht="15" hidden="false" customHeight="false" outlineLevel="0" collapsed="false">
      <c r="A57" s="34" t="s">
        <v>1179</v>
      </c>
      <c r="B57" s="57" t="n">
        <f aca="false">SUM(B54:B56)</f>
        <v>4.7189605181013</v>
      </c>
      <c r="C57" s="34" t="s">
        <v>1174</v>
      </c>
      <c r="D57" s="36" t="s">
        <v>1180</v>
      </c>
    </row>
    <row r="59" customFormat="false" ht="15" hidden="false" customHeight="false" outlineLevel="0" collapsed="false">
      <c r="A59" s="6" t="s">
        <v>1181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customFormat="false" ht="43.5" hidden="false" customHeight="true" outlineLevel="0" collapsed="false">
      <c r="A60" s="3" t="s">
        <v>275</v>
      </c>
      <c r="B60" s="3" t="s">
        <v>1182</v>
      </c>
      <c r="C60" s="3" t="s">
        <v>1183</v>
      </c>
      <c r="D60" s="3" t="s">
        <v>1184</v>
      </c>
      <c r="E60" s="3" t="s">
        <v>1185</v>
      </c>
      <c r="F60" s="3" t="s">
        <v>1186</v>
      </c>
      <c r="G60" s="3" t="s">
        <v>1187</v>
      </c>
      <c r="H60" s="3" t="s">
        <v>1188</v>
      </c>
      <c r="I60" s="3" t="s">
        <v>1189</v>
      </c>
      <c r="J60" s="3" t="s">
        <v>1190</v>
      </c>
      <c r="K60" s="3" t="s">
        <v>1191</v>
      </c>
      <c r="L60" s="3" t="s">
        <v>1093</v>
      </c>
    </row>
    <row r="61" customFormat="false" ht="15" hidden="false" customHeight="false" outlineLevel="0" collapsed="false">
      <c r="A61" s="58" t="s">
        <v>552</v>
      </c>
      <c r="B61" s="59" t="n">
        <v>19.9</v>
      </c>
      <c r="C61" s="40" t="n">
        <f aca="false">3*$B$23/$B$26/$B$21</f>
        <v>0.198698994677706</v>
      </c>
      <c r="D61" s="40" t="n">
        <f aca="false">$B$24/$B$26/$B$21</f>
        <v>1.44589000591366</v>
      </c>
      <c r="E61" s="40" t="n">
        <v>0</v>
      </c>
      <c r="F61" s="60" t="n">
        <v>300</v>
      </c>
      <c r="G61" s="60" t="n">
        <v>1200</v>
      </c>
      <c r="H61" s="53" t="n">
        <f aca="false">AVERAGE(F61:G61)</f>
        <v>750</v>
      </c>
      <c r="I61" s="37" t="n">
        <v>150</v>
      </c>
      <c r="J61" s="37" t="n">
        <v>300</v>
      </c>
      <c r="K61" s="37" t="n">
        <v>450</v>
      </c>
      <c r="L61" s="51" t="s">
        <v>1192</v>
      </c>
    </row>
    <row r="62" customFormat="false" ht="15" hidden="false" customHeight="false" outlineLevel="0" collapsed="false">
      <c r="A62" s="58" t="s">
        <v>250</v>
      </c>
      <c r="B62" s="59" t="n">
        <v>28.4</v>
      </c>
      <c r="C62" s="40" t="n">
        <f aca="false">6*$B$23/$B$27/$B$21</f>
        <v>0.276375766853644</v>
      </c>
      <c r="D62" s="40" t="n">
        <f aca="false">2*$B$24/$B$27/$B$21</f>
        <v>2.01112723201535</v>
      </c>
      <c r="E62" s="40" t="n">
        <v>0</v>
      </c>
      <c r="F62" s="60" t="n">
        <v>300</v>
      </c>
      <c r="G62" s="60" t="n">
        <v>1200</v>
      </c>
      <c r="H62" s="53" t="n">
        <f aca="false">AVERAGE(F62:G62)</f>
        <v>750</v>
      </c>
      <c r="I62" s="37" t="n">
        <v>150</v>
      </c>
      <c r="J62" s="37" t="n">
        <v>400</v>
      </c>
      <c r="K62" s="37" t="n">
        <v>700</v>
      </c>
      <c r="L62" s="51" t="s">
        <v>1192</v>
      </c>
    </row>
    <row r="63" customFormat="false" ht="15" hidden="false" customHeight="false" outlineLevel="0" collapsed="false">
      <c r="A63" s="58" t="s">
        <v>590</v>
      </c>
      <c r="B63" s="59" t="n">
        <v>43.1</v>
      </c>
      <c r="C63" s="40" t="n">
        <f aca="false">3*$B$23/$B$29/$B$21</f>
        <v>0.453861537711106</v>
      </c>
      <c r="D63" s="40" t="n">
        <f aca="false">$B$24/$B$29/$B$21</f>
        <v>3.30265315387992</v>
      </c>
      <c r="E63" s="40" t="n">
        <v>0</v>
      </c>
      <c r="F63" s="37" t="n">
        <v>1000</v>
      </c>
      <c r="G63" s="37" t="n">
        <v>1800</v>
      </c>
      <c r="H63" s="53" t="n">
        <f aca="false">AVERAGE(F63:G63)</f>
        <v>1400</v>
      </c>
      <c r="I63" s="60" t="n">
        <v>500</v>
      </c>
      <c r="J63" s="37" t="n">
        <v>650</v>
      </c>
      <c r="K63" s="37" t="n">
        <v>900</v>
      </c>
      <c r="L63" s="51" t="s">
        <v>1193</v>
      </c>
    </row>
    <row r="64" customFormat="false" ht="15" hidden="false" customHeight="false" outlineLevel="0" collapsed="false">
      <c r="A64" s="58" t="s">
        <v>294</v>
      </c>
      <c r="B64" s="59" t="n">
        <v>43</v>
      </c>
      <c r="C64" s="40" t="n">
        <f aca="false">3*$B$23/$B$29/$B$21</f>
        <v>0.453861537711106</v>
      </c>
      <c r="D64" s="40" t="n">
        <f aca="false">$B$24/$B$29/$B$21</f>
        <v>3.30265315387992</v>
      </c>
      <c r="E64" s="40" t="n">
        <v>0</v>
      </c>
      <c r="F64" s="37" t="n">
        <v>1000</v>
      </c>
      <c r="G64" s="37" t="n">
        <v>1800</v>
      </c>
      <c r="H64" s="53" t="n">
        <f aca="false">AVERAGE(F64:G64)</f>
        <v>1400</v>
      </c>
      <c r="I64" s="60" t="n">
        <v>500</v>
      </c>
      <c r="J64" s="37" t="n">
        <v>600</v>
      </c>
      <c r="K64" s="37" t="n">
        <v>900</v>
      </c>
      <c r="L64" s="51" t="s">
        <v>1194</v>
      </c>
    </row>
    <row r="65" customFormat="false" ht="15" hidden="false" customHeight="false" outlineLevel="0" collapsed="false">
      <c r="A65" s="58" t="s">
        <v>632</v>
      </c>
      <c r="B65" s="59" t="n">
        <v>43.4</v>
      </c>
      <c r="C65" s="40" t="n">
        <f aca="false">3*$B$23/$B$29/$B$21</f>
        <v>0.453861537711106</v>
      </c>
      <c r="D65" s="40" t="n">
        <f aca="false">$B$24/$B$29/$B$21</f>
        <v>3.30265315387992</v>
      </c>
      <c r="E65" s="40" t="n">
        <v>0</v>
      </c>
      <c r="F65" s="60" t="n">
        <v>600</v>
      </c>
      <c r="G65" s="60" t="n">
        <v>600</v>
      </c>
      <c r="H65" s="53" t="n">
        <f aca="false">AVERAGE(F65:G65)</f>
        <v>600</v>
      </c>
      <c r="I65" s="37" t="n">
        <v>150</v>
      </c>
      <c r="J65" s="37" t="n">
        <v>600</v>
      </c>
      <c r="K65" s="37" t="n">
        <v>900</v>
      </c>
      <c r="L65" s="51" t="s">
        <v>1195</v>
      </c>
    </row>
    <row r="66" customFormat="false" ht="15" hidden="false" customHeight="false" outlineLevel="0" collapsed="false">
      <c r="A66" s="58" t="s">
        <v>696</v>
      </c>
      <c r="B66" s="59" t="n">
        <v>18.6</v>
      </c>
      <c r="C66" s="40" t="n">
        <f aca="false">3*$B$23/(2*$B$28)/$B$21</f>
        <v>0.186903757544292</v>
      </c>
      <c r="D66" s="40" t="n">
        <v>0</v>
      </c>
      <c r="E66" s="40" t="n">
        <f aca="false">$B$25/(2*$B$28)/$B$21</f>
        <v>0.865727821403076</v>
      </c>
      <c r="F66" s="60" t="n">
        <v>1300</v>
      </c>
      <c r="G66" s="60" t="n">
        <v>2200</v>
      </c>
      <c r="H66" s="53" t="n">
        <f aca="false">AVERAGE(F66:G66)</f>
        <v>1750</v>
      </c>
      <c r="I66" s="37" t="n">
        <v>150</v>
      </c>
      <c r="J66" s="37" t="n">
        <v>350</v>
      </c>
      <c r="K66" s="37" t="n">
        <v>600</v>
      </c>
      <c r="L66" s="51" t="s">
        <v>1196</v>
      </c>
    </row>
    <row r="67" customFormat="false" ht="15" hidden="false" customHeight="false" outlineLevel="0" collapsed="false">
      <c r="A67" s="16" t="s">
        <v>1197</v>
      </c>
    </row>
    <row r="69" customFormat="false" ht="15" hidden="false" customHeight="false" outlineLevel="0" collapsed="false">
      <c r="A69" s="6" t="s">
        <v>1198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customFormat="false" ht="57.75" hidden="false" customHeight="true" outlineLevel="0" collapsed="false">
      <c r="A70" s="3" t="s">
        <v>275</v>
      </c>
      <c r="B70" s="3" t="s">
        <v>1199</v>
      </c>
      <c r="C70" s="3" t="s">
        <v>1200</v>
      </c>
      <c r="D70" s="3" t="s">
        <v>1201</v>
      </c>
      <c r="E70" s="3" t="s">
        <v>1202</v>
      </c>
      <c r="F70" s="3" t="s">
        <v>1203</v>
      </c>
      <c r="G70" s="3" t="s">
        <v>1204</v>
      </c>
      <c r="H70" s="3" t="s">
        <v>1205</v>
      </c>
      <c r="I70" s="3" t="s">
        <v>1206</v>
      </c>
      <c r="J70" s="3" t="s">
        <v>1207</v>
      </c>
      <c r="K70" s="3" t="s">
        <v>1208</v>
      </c>
      <c r="L70" s="3" t="s">
        <v>1209</v>
      </c>
      <c r="M70" s="3" t="s">
        <v>1210</v>
      </c>
      <c r="N70" s="3" t="s">
        <v>1211</v>
      </c>
    </row>
    <row r="71" customFormat="false" ht="15" hidden="false" customHeight="false" outlineLevel="0" collapsed="false">
      <c r="A71" s="58" t="str">
        <f aca="false">A61</f>
        <v>e-methanol</v>
      </c>
      <c r="B71" s="53" t="n">
        <f aca="false">C61*1000*$B$57</f>
        <v>937.652710870512</v>
      </c>
      <c r="C71" s="53" t="n">
        <f aca="false">D61*$B$49</f>
        <v>99.7664104080426</v>
      </c>
      <c r="D71" s="53" t="n">
        <f aca="false">(B61*1000/3.6/8760/$B$19)*H61*($B$12+$B$20)</f>
        <v>74.5935585674757</v>
      </c>
      <c r="E71" s="53" t="n">
        <f aca="false">(I61+E61*1000*$B$22)/1000*$B$6</f>
        <v>4.5</v>
      </c>
      <c r="F71" s="15" t="n">
        <f aca="false">SUM(B71:E71)</f>
        <v>1116.51267984603</v>
      </c>
      <c r="G71" s="53" t="n">
        <f aca="false">F71/(B61*1000/3600)</f>
        <v>201.98219333898</v>
      </c>
      <c r="H71" s="52" t="n">
        <f aca="false">C61*1000*$B$45/1000+D61*$B$50+(I61+E61*1000*$B$22)/1000</f>
        <v>12.2282579019217</v>
      </c>
      <c r="I71" s="54" t="n">
        <f aca="false">(B61*1000/3600)/H71</f>
        <v>0.452049492422718</v>
      </c>
      <c r="J71" s="52" t="n">
        <f aca="false">C61*$B$17</f>
        <v>2.21549379065642</v>
      </c>
      <c r="K71" s="61" t="n">
        <f aca="false">B71/F71</f>
        <v>0.839804802754069</v>
      </c>
      <c r="L71" s="62" t="n">
        <f aca="false">F71/AVERAGE(J61:K61)</f>
        <v>2.97736714625608</v>
      </c>
      <c r="M71" s="50" t="n">
        <f aca="false">Produits!F7</f>
        <v>3208</v>
      </c>
      <c r="N71" s="50" t="n">
        <f aca="false">Produits!G7</f>
        <v>3409</v>
      </c>
    </row>
    <row r="72" customFormat="false" ht="15" hidden="false" customHeight="false" outlineLevel="0" collapsed="false">
      <c r="A72" s="58" t="str">
        <f aca="false">A62</f>
        <v>e-DME</v>
      </c>
      <c r="B72" s="53" t="n">
        <f aca="false">C62*1000*$B$57</f>
        <v>1304.20633194231</v>
      </c>
      <c r="C72" s="53" t="n">
        <f aca="false">D62*$B$49</f>
        <v>138.767779009059</v>
      </c>
      <c r="D72" s="53" t="n">
        <f aca="false">(B62*1000/3.6/8760/$B$19)*H62*($B$12+$B$20)</f>
        <v>106.455128809865</v>
      </c>
      <c r="E72" s="53" t="n">
        <f aca="false">(I62+E62*1000*$B$22)/1000*$B$6</f>
        <v>4.5</v>
      </c>
      <c r="F72" s="15" t="n">
        <f aca="false">SUM(B72:E72)</f>
        <v>1553.92923976124</v>
      </c>
      <c r="G72" s="53" t="n">
        <f aca="false">F72/(B62*1000/3600)</f>
        <v>196.976945885227</v>
      </c>
      <c r="H72" s="52" t="n">
        <f aca="false">C62*1000*$B$45/1000+D62*$B$50+(I62+E62*1000*$B$22)/1000</f>
        <v>16.949973222382</v>
      </c>
      <c r="I72" s="54" t="n">
        <f aca="false">(B62*1000/3600)/H72</f>
        <v>0.465421908659525</v>
      </c>
      <c r="J72" s="52" t="n">
        <f aca="false">C62*$B$17</f>
        <v>3.08158980041813</v>
      </c>
      <c r="K72" s="61" t="n">
        <f aca="false">B72/F72</f>
        <v>0.839295830576369</v>
      </c>
      <c r="L72" s="62" t="n">
        <f aca="false">F72/AVERAGE(J62:K62)</f>
        <v>2.82532589047498</v>
      </c>
      <c r="M72" s="63" t="s">
        <v>190</v>
      </c>
      <c r="N72" s="63" t="s">
        <v>190</v>
      </c>
    </row>
    <row r="73" customFormat="false" ht="15" hidden="false" customHeight="false" outlineLevel="0" collapsed="false">
      <c r="A73" s="58" t="str">
        <f aca="false">A63</f>
        <v>e-kerosene</v>
      </c>
      <c r="B73" s="53" t="n">
        <f aca="false">C63*1000*$B$57</f>
        <v>2141.75467714345</v>
      </c>
      <c r="C73" s="53" t="n">
        <f aca="false">D63*$B$49</f>
        <v>227.883067617715</v>
      </c>
      <c r="D73" s="53" t="n">
        <f aca="false">(B63*1000/3.6/8760/$B$19)*H63*($B$12+$B$20)</f>
        <v>301.57288602757</v>
      </c>
      <c r="E73" s="53" t="n">
        <f aca="false">(I63+E63*1000*$B$22)/1000*$B$6</f>
        <v>15</v>
      </c>
      <c r="F73" s="15" t="n">
        <f aca="false">SUM(B73:E73)</f>
        <v>2686.21063078874</v>
      </c>
      <c r="G73" s="53" t="n">
        <f aca="false">F73/(B63*1000/3600)</f>
        <v>224.370261504396</v>
      </c>
      <c r="H73" s="52" t="n">
        <f aca="false">C63*1000*$B$45/1000+D63*$B$50+(I63+E63*1000*$B$22)/1000</f>
        <v>28.0887490680523</v>
      </c>
      <c r="I73" s="54" t="n">
        <f aca="false">(B63*1000/3600)/H73</f>
        <v>0.426228387501928</v>
      </c>
      <c r="J73" s="52" t="n">
        <f aca="false">C63*$B$17</f>
        <v>5.06055614547883</v>
      </c>
      <c r="K73" s="61" t="n">
        <f aca="false">B73/F73</f>
        <v>0.797314496709657</v>
      </c>
      <c r="L73" s="62" t="n">
        <f aca="false">F73/AVERAGE(J63:K63)</f>
        <v>3.46607823327579</v>
      </c>
      <c r="M73" s="50" t="n">
        <f aca="false">Produits!F5</f>
        <v>3062</v>
      </c>
      <c r="N73" s="50" t="n">
        <f aca="false">Produits!G5</f>
        <v>4215</v>
      </c>
    </row>
    <row r="74" customFormat="false" ht="15" hidden="false" customHeight="false" outlineLevel="0" collapsed="false">
      <c r="A74" s="58" t="str">
        <f aca="false">A64</f>
        <v>e-diesel</v>
      </c>
      <c r="B74" s="53" t="n">
        <f aca="false">C64*1000*$B$57</f>
        <v>2141.75467714345</v>
      </c>
      <c r="C74" s="53" t="n">
        <f aca="false">D64*$B$49</f>
        <v>227.883067617715</v>
      </c>
      <c r="D74" s="53" t="n">
        <f aca="false">(B64*1000/3.6/8760/$B$19)*H64*($B$12+$B$20)</f>
        <v>300.87318095558</v>
      </c>
      <c r="E74" s="53" t="n">
        <f aca="false">(I64+E64*1000*$B$22)/1000*$B$6</f>
        <v>15</v>
      </c>
      <c r="F74" s="15" t="n">
        <f aca="false">SUM(B74:E74)</f>
        <v>2685.51092571675</v>
      </c>
      <c r="G74" s="53" t="n">
        <f aca="false">F74/(B64*1000/3600)</f>
        <v>224.833472850704</v>
      </c>
      <c r="H74" s="52" t="n">
        <f aca="false">C64*1000*$B$45/1000+D64*$B$50+(I64+E64*1000*$B$22)/1000</f>
        <v>28.0887490680523</v>
      </c>
      <c r="I74" s="54" t="n">
        <f aca="false">(B64*1000/3600)/H74</f>
        <v>0.425239458528605</v>
      </c>
      <c r="J74" s="52" t="n">
        <f aca="false">C64*$B$17</f>
        <v>5.06055614547883</v>
      </c>
      <c r="K74" s="61" t="n">
        <f aca="false">B74/F74</f>
        <v>0.797522235576767</v>
      </c>
      <c r="L74" s="62" t="n">
        <f aca="false">F74/AVERAGE(J64:K64)</f>
        <v>3.580681234289</v>
      </c>
      <c r="M74" s="50" t="n">
        <f aca="false">Produits!F6</f>
        <v>3400</v>
      </c>
      <c r="N74" s="50" t="n">
        <f aca="false">Produits!G6</f>
        <v>3520</v>
      </c>
    </row>
    <row r="75" customFormat="false" ht="15" hidden="false" customHeight="false" outlineLevel="0" collapsed="false">
      <c r="A75" s="58" t="str">
        <f aca="false">A65</f>
        <v>e-gasoline</v>
      </c>
      <c r="B75" s="53" t="n">
        <f aca="false">C65*1000*$B$57</f>
        <v>2141.75467714345</v>
      </c>
      <c r="C75" s="53" t="n">
        <f aca="false">D65*$B$49</f>
        <v>227.883067617715</v>
      </c>
      <c r="D75" s="53" t="n">
        <f aca="false">(B65*1000/3.6/8760/$B$19)*H65*($B$12+$B$20)</f>
        <v>130.145143390088</v>
      </c>
      <c r="E75" s="53" t="n">
        <f aca="false">(I65+E65*1000*$B$22)/1000*$B$6</f>
        <v>4.5</v>
      </c>
      <c r="F75" s="15" t="n">
        <f aca="false">SUM(B75:E75)</f>
        <v>2504.28288815125</v>
      </c>
      <c r="G75" s="53" t="n">
        <f aca="false">F75/(B65*1000/3600)</f>
        <v>207.728534501026</v>
      </c>
      <c r="H75" s="52" t="n">
        <f aca="false">C65*1000*$B$45/1000+D65*$B$50+(I65+E65*1000*$B$22)/1000</f>
        <v>27.7387490680523</v>
      </c>
      <c r="I75" s="54" t="n">
        <f aca="false">(B65*1000/3600)/H75</f>
        <v>0.434610642533998</v>
      </c>
      <c r="J75" s="52" t="n">
        <f aca="false">C65*$B$17</f>
        <v>5.06055614547883</v>
      </c>
      <c r="K75" s="61" t="n">
        <f aca="false">B75/F75</f>
        <v>0.855236717575692</v>
      </c>
      <c r="L75" s="62" t="n">
        <f aca="false">F75/AVERAGE(J65:K65)</f>
        <v>3.33904385086834</v>
      </c>
      <c r="M75" s="50" t="n">
        <f aca="false">Produits!$B$16</f>
        <v>4001.07382550336</v>
      </c>
      <c r="N75" s="50" t="n">
        <f aca="false">Produits!$B$16</f>
        <v>4001.07382550336</v>
      </c>
    </row>
    <row r="76" customFormat="false" ht="15" hidden="false" customHeight="false" outlineLevel="0" collapsed="false">
      <c r="A76" s="58" t="str">
        <f aca="false">A66</f>
        <v>e-ammonia</v>
      </c>
      <c r="B76" s="53" t="n">
        <f aca="false">C66*1000*$B$57</f>
        <v>881.991452536293</v>
      </c>
      <c r="C76" s="53" t="n">
        <f aca="false">D66*$B$49</f>
        <v>0</v>
      </c>
      <c r="D76" s="53" t="n">
        <f aca="false">(B66*1000/3.6/8760/$B$19)*H66*($B$12+$B$20)</f>
        <v>162.68142923761</v>
      </c>
      <c r="E76" s="53" t="n">
        <f aca="false">(I66+E66*1000*$B$22)/1000*$B$6</f>
        <v>7.35690181063015</v>
      </c>
      <c r="F76" s="15" t="n">
        <f aca="false">SUM(B76:E76)</f>
        <v>1052.02978358453</v>
      </c>
      <c r="G76" s="53" t="n">
        <f aca="false">F76/(B66*1000/3600)</f>
        <v>203.618667790555</v>
      </c>
      <c r="H76" s="52" t="n">
        <f aca="false">C66*1000*$B$45/1000+D66*$B$50+(I66+E66*1000*$B$22)/1000</f>
        <v>11.2664796707766</v>
      </c>
      <c r="I76" s="54" t="n">
        <f aca="false">(B66*1000/3600)/H76</f>
        <v>0.458587492956489</v>
      </c>
      <c r="J76" s="52" t="n">
        <f aca="false">C66*$B$17</f>
        <v>2.08397689661886</v>
      </c>
      <c r="K76" s="61" t="n">
        <f aca="false">B76/F76</f>
        <v>0.838371181404317</v>
      </c>
      <c r="L76" s="62" t="n">
        <f aca="false">F76/AVERAGE(J66:K66)</f>
        <v>2.21479954438849</v>
      </c>
      <c r="M76" s="63" t="s">
        <v>190</v>
      </c>
      <c r="N76" s="63" t="s">
        <v>190</v>
      </c>
    </row>
    <row r="77" customFormat="false" ht="15" hidden="false" customHeight="false" outlineLevel="0" collapsed="false">
      <c r="A77" s="16" t="s">
        <v>1212</v>
      </c>
    </row>
    <row r="78" customFormat="false" ht="15" hidden="false" customHeight="false" outlineLevel="0" collapsed="false">
      <c r="A78" s="16" t="s">
        <v>1213</v>
      </c>
    </row>
  </sheetData>
  <dataValidations count="2">
    <dataValidation allowBlank="false" errorStyle="stop" operator="between" showDropDown="false" showErrorMessage="false" showInputMessage="false" sqref="B8" type="list">
      <formula1>"AEL,PEM,SOEC"</formula1>
      <formula2>0</formula2>
    </dataValidation>
    <dataValidation allowBlank="false" errorStyle="stop" operator="between" showDropDown="false" showErrorMessage="false" showInputMessage="false" sqref="B9" type="list">
      <formula1>"Point source,DAC"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1214</v>
      </c>
    </row>
    <row r="2" customFormat="false" ht="15" hidden="false" customHeight="false" outlineLevel="0" collapsed="false">
      <c r="A2" s="2" t="s">
        <v>1215</v>
      </c>
    </row>
    <row r="4" customFormat="false" ht="15" hidden="false" customHeight="false" outlineLevel="0" collapsed="false">
      <c r="A4" s="6" t="s">
        <v>1216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0" collapsed="false">
      <c r="A5" s="64" t="s">
        <v>1217</v>
      </c>
      <c r="B5" s="65" t="n">
        <v>3000</v>
      </c>
      <c r="C5" s="65" t="n">
        <v>4000</v>
      </c>
      <c r="D5" s="65" t="n">
        <v>5000</v>
      </c>
      <c r="E5" s="65" t="n">
        <v>6000</v>
      </c>
      <c r="F5" s="65" t="n">
        <v>7000</v>
      </c>
      <c r="G5" s="65" t="n">
        <v>8000</v>
      </c>
    </row>
    <row r="6" customFormat="false" ht="15" hidden="false" customHeight="false" outlineLevel="0" collapsed="false">
      <c r="A6" s="60" t="n">
        <v>15</v>
      </c>
      <c r="B6" s="44" t="n">
        <f aca="false">$A6*Calculateur_LCOE!$B$45/1000+Calculateur_LCOE!$B$46*(Calculateur_LCOE!$B$12+Calculateur_LCOE!$B$47)/(B$5/Calculateur_LCOE!$B$45)+Calculateur_LCOE!$B$56</f>
        <v>5.78620460181991</v>
      </c>
      <c r="C6" s="44" t="n">
        <f aca="false">$A6*Calculateur_LCOE!$B$45/1000+Calculateur_LCOE!$B$46*(Calculateur_LCOE!$B$12+Calculateur_LCOE!$B$47)/(C$5/Calculateur_LCOE!$B$45)+Calculateur_LCOE!$B$56</f>
        <v>4.56635662225946</v>
      </c>
      <c r="D6" s="44" t="n">
        <f aca="false">$A6*Calculateur_LCOE!$B$45/1000+Calculateur_LCOE!$B$46*(Calculateur_LCOE!$B$12+Calculateur_LCOE!$B$47)/(D$5/Calculateur_LCOE!$B$45)+Calculateur_LCOE!$B$56</f>
        <v>3.83444783452319</v>
      </c>
      <c r="E6" s="44" t="n">
        <f aca="false">$A6*Calculateur_LCOE!$B$45/1000+Calculateur_LCOE!$B$46*(Calculateur_LCOE!$B$12+Calculateur_LCOE!$B$47)/(E$5/Calculateur_LCOE!$B$45)+Calculateur_LCOE!$B$56</f>
        <v>3.34650864269901</v>
      </c>
      <c r="F6" s="44" t="n">
        <f aca="false">$A6*Calculateur_LCOE!$B$45/1000+Calculateur_LCOE!$B$46*(Calculateur_LCOE!$B$12+Calculateur_LCOE!$B$47)/(F$5/Calculateur_LCOE!$B$45)+Calculateur_LCOE!$B$56</f>
        <v>2.99798064853888</v>
      </c>
      <c r="G6" s="44" t="n">
        <f aca="false">$A6*Calculateur_LCOE!$B$45/1000+Calculateur_LCOE!$B$46*(Calculateur_LCOE!$B$12+Calculateur_LCOE!$B$47)/(G$5/Calculateur_LCOE!$B$45)+Calculateur_LCOE!$B$56</f>
        <v>2.73658465291878</v>
      </c>
    </row>
    <row r="7" customFormat="false" ht="15" hidden="false" customHeight="false" outlineLevel="0" collapsed="false">
      <c r="A7" s="60" t="n">
        <v>20</v>
      </c>
      <c r="B7" s="44" t="n">
        <f aca="false">$A7*Calculateur_LCOE!$B$45/1000+Calculateur_LCOE!$B$46*(Calculateur_LCOE!$B$12+Calculateur_LCOE!$B$47)/(B$5/Calculateur_LCOE!$B$45)+Calculateur_LCOE!$B$56</f>
        <v>6.08104216301262</v>
      </c>
      <c r="C7" s="44" t="n">
        <f aca="false">$A7*Calculateur_LCOE!$B$45/1000+Calculateur_LCOE!$B$46*(Calculateur_LCOE!$B$12+Calculateur_LCOE!$B$47)/(C$5/Calculateur_LCOE!$B$45)+Calculateur_LCOE!$B$56</f>
        <v>4.86119418345216</v>
      </c>
      <c r="D7" s="44" t="n">
        <f aca="false">$A7*Calculateur_LCOE!$B$45/1000+Calculateur_LCOE!$B$46*(Calculateur_LCOE!$B$12+Calculateur_LCOE!$B$47)/(D$5/Calculateur_LCOE!$B$45)+Calculateur_LCOE!$B$56</f>
        <v>4.12928539571589</v>
      </c>
      <c r="E7" s="44" t="n">
        <f aca="false">$A7*Calculateur_LCOE!$B$45/1000+Calculateur_LCOE!$B$46*(Calculateur_LCOE!$B$12+Calculateur_LCOE!$B$47)/(E$5/Calculateur_LCOE!$B$45)+Calculateur_LCOE!$B$56</f>
        <v>3.64134620389171</v>
      </c>
      <c r="F7" s="44" t="n">
        <f aca="false">$A7*Calculateur_LCOE!$B$45/1000+Calculateur_LCOE!$B$46*(Calculateur_LCOE!$B$12+Calculateur_LCOE!$B$47)/(F$5/Calculateur_LCOE!$B$45)+Calculateur_LCOE!$B$56</f>
        <v>3.29281820973158</v>
      </c>
      <c r="G7" s="44" t="n">
        <f aca="false">$A7*Calculateur_LCOE!$B$45/1000+Calculateur_LCOE!$B$46*(Calculateur_LCOE!$B$12+Calculateur_LCOE!$B$47)/(G$5/Calculateur_LCOE!$B$45)+Calculateur_LCOE!$B$56</f>
        <v>3.03142221411148</v>
      </c>
    </row>
    <row r="8" customFormat="false" ht="15" hidden="false" customHeight="false" outlineLevel="0" collapsed="false">
      <c r="A8" s="60" t="n">
        <v>25</v>
      </c>
      <c r="B8" s="44" t="n">
        <f aca="false">$A8*Calculateur_LCOE!$B$45/1000+Calculateur_LCOE!$B$46*(Calculateur_LCOE!$B$12+Calculateur_LCOE!$B$47)/(B$5/Calculateur_LCOE!$B$45)+Calculateur_LCOE!$B$56</f>
        <v>6.37587972420532</v>
      </c>
      <c r="C8" s="44" t="n">
        <f aca="false">$A8*Calculateur_LCOE!$B$45/1000+Calculateur_LCOE!$B$46*(Calculateur_LCOE!$B$12+Calculateur_LCOE!$B$47)/(C$5/Calculateur_LCOE!$B$45)+Calculateur_LCOE!$B$56</f>
        <v>5.15603174464487</v>
      </c>
      <c r="D8" s="44" t="n">
        <f aca="false">$A8*Calculateur_LCOE!$B$45/1000+Calculateur_LCOE!$B$46*(Calculateur_LCOE!$B$12+Calculateur_LCOE!$B$47)/(D$5/Calculateur_LCOE!$B$45)+Calculateur_LCOE!$B$56</f>
        <v>4.42412295690859</v>
      </c>
      <c r="E8" s="44" t="n">
        <f aca="false">$A8*Calculateur_LCOE!$B$45/1000+Calculateur_LCOE!$B$46*(Calculateur_LCOE!$B$12+Calculateur_LCOE!$B$47)/(E$5/Calculateur_LCOE!$B$45)+Calculateur_LCOE!$B$56</f>
        <v>3.93618376508441</v>
      </c>
      <c r="F8" s="44" t="n">
        <f aca="false">$A8*Calculateur_LCOE!$B$45/1000+Calculateur_LCOE!$B$46*(Calculateur_LCOE!$B$12+Calculateur_LCOE!$B$47)/(F$5/Calculateur_LCOE!$B$45)+Calculateur_LCOE!$B$56</f>
        <v>3.58765577092428</v>
      </c>
      <c r="G8" s="44" t="n">
        <f aca="false">$A8*Calculateur_LCOE!$B$45/1000+Calculateur_LCOE!$B$46*(Calculateur_LCOE!$B$12+Calculateur_LCOE!$B$47)/(G$5/Calculateur_LCOE!$B$45)+Calculateur_LCOE!$B$56</f>
        <v>3.32625977530419</v>
      </c>
    </row>
    <row r="9" customFormat="false" ht="15" hidden="false" customHeight="false" outlineLevel="0" collapsed="false">
      <c r="A9" s="60" t="n">
        <v>30</v>
      </c>
      <c r="B9" s="44" t="n">
        <f aca="false">$A9*Calculateur_LCOE!$B$45/1000+Calculateur_LCOE!$B$46*(Calculateur_LCOE!$B$12+Calculateur_LCOE!$B$47)/(B$5/Calculateur_LCOE!$B$45)+Calculateur_LCOE!$B$56</f>
        <v>6.67071728539802</v>
      </c>
      <c r="C9" s="44" t="n">
        <f aca="false">$A9*Calculateur_LCOE!$B$45/1000+Calculateur_LCOE!$B$46*(Calculateur_LCOE!$B$12+Calculateur_LCOE!$B$47)/(C$5/Calculateur_LCOE!$B$45)+Calculateur_LCOE!$B$56</f>
        <v>5.45086930583757</v>
      </c>
      <c r="D9" s="44" t="n">
        <f aca="false">$A9*Calculateur_LCOE!$B$45/1000+Calculateur_LCOE!$B$46*(Calculateur_LCOE!$B$12+Calculateur_LCOE!$B$47)/(D$5/Calculateur_LCOE!$B$45)+Calculateur_LCOE!$B$56</f>
        <v>4.7189605181013</v>
      </c>
      <c r="E9" s="44" t="n">
        <f aca="false">$A9*Calculateur_LCOE!$B$45/1000+Calculateur_LCOE!$B$46*(Calculateur_LCOE!$B$12+Calculateur_LCOE!$B$47)/(E$5/Calculateur_LCOE!$B$45)+Calculateur_LCOE!$B$56</f>
        <v>4.23102132627711</v>
      </c>
      <c r="F9" s="44" t="n">
        <f aca="false">$A9*Calculateur_LCOE!$B$45/1000+Calculateur_LCOE!$B$46*(Calculateur_LCOE!$B$12+Calculateur_LCOE!$B$47)/(F$5/Calculateur_LCOE!$B$45)+Calculateur_LCOE!$B$56</f>
        <v>3.88249333211698</v>
      </c>
      <c r="G9" s="44" t="n">
        <f aca="false">$A9*Calculateur_LCOE!$B$45/1000+Calculateur_LCOE!$B$46*(Calculateur_LCOE!$B$12+Calculateur_LCOE!$B$47)/(G$5/Calculateur_LCOE!$B$45)+Calculateur_LCOE!$B$56</f>
        <v>3.62109733649689</v>
      </c>
    </row>
    <row r="10" customFormat="false" ht="15" hidden="false" customHeight="false" outlineLevel="0" collapsed="false">
      <c r="A10" s="60" t="n">
        <v>40</v>
      </c>
      <c r="B10" s="44" t="n">
        <f aca="false">$A10*Calculateur_LCOE!$B$45/1000+Calculateur_LCOE!$B$46*(Calculateur_LCOE!$B$12+Calculateur_LCOE!$B$47)/(B$5/Calculateur_LCOE!$B$45)+Calculateur_LCOE!$B$56</f>
        <v>7.26039240778342</v>
      </c>
      <c r="C10" s="44" t="n">
        <f aca="false">$A10*Calculateur_LCOE!$B$45/1000+Calculateur_LCOE!$B$46*(Calculateur_LCOE!$B$12+Calculateur_LCOE!$B$47)/(C$5/Calculateur_LCOE!$B$45)+Calculateur_LCOE!$B$56</f>
        <v>6.04054442822297</v>
      </c>
      <c r="D10" s="44" t="n">
        <f aca="false">$A10*Calculateur_LCOE!$B$45/1000+Calculateur_LCOE!$B$46*(Calculateur_LCOE!$B$12+Calculateur_LCOE!$B$47)/(D$5/Calculateur_LCOE!$B$45)+Calculateur_LCOE!$B$56</f>
        <v>5.3086356404867</v>
      </c>
      <c r="E10" s="44" t="n">
        <f aca="false">$A10*Calculateur_LCOE!$B$45/1000+Calculateur_LCOE!$B$46*(Calculateur_LCOE!$B$12+Calculateur_LCOE!$B$47)/(E$5/Calculateur_LCOE!$B$45)+Calculateur_LCOE!$B$56</f>
        <v>4.82069644866252</v>
      </c>
      <c r="F10" s="44" t="n">
        <f aca="false">$A10*Calculateur_LCOE!$B$45/1000+Calculateur_LCOE!$B$46*(Calculateur_LCOE!$B$12+Calculateur_LCOE!$B$47)/(F$5/Calculateur_LCOE!$B$45)+Calculateur_LCOE!$B$56</f>
        <v>4.47216845450239</v>
      </c>
      <c r="G10" s="44" t="n">
        <f aca="false">$A10*Calculateur_LCOE!$B$45/1000+Calculateur_LCOE!$B$46*(Calculateur_LCOE!$B$12+Calculateur_LCOE!$B$47)/(G$5/Calculateur_LCOE!$B$45)+Calculateur_LCOE!$B$56</f>
        <v>4.21077245888229</v>
      </c>
    </row>
    <row r="11" customFormat="false" ht="15" hidden="false" customHeight="false" outlineLevel="0" collapsed="false">
      <c r="A11" s="60" t="n">
        <v>50</v>
      </c>
      <c r="B11" s="44" t="n">
        <f aca="false">$A11*Calculateur_LCOE!$B$45/1000+Calculateur_LCOE!$B$46*(Calculateur_LCOE!$B$12+Calculateur_LCOE!$B$47)/(B$5/Calculateur_LCOE!$B$45)+Calculateur_LCOE!$B$56</f>
        <v>7.85006753016882</v>
      </c>
      <c r="C11" s="44" t="n">
        <f aca="false">$A11*Calculateur_LCOE!$B$45/1000+Calculateur_LCOE!$B$46*(Calculateur_LCOE!$B$12+Calculateur_LCOE!$B$47)/(C$5/Calculateur_LCOE!$B$45)+Calculateur_LCOE!$B$56</f>
        <v>6.63021955060837</v>
      </c>
      <c r="D11" s="44" t="n">
        <f aca="false">$A11*Calculateur_LCOE!$B$45/1000+Calculateur_LCOE!$B$46*(Calculateur_LCOE!$B$12+Calculateur_LCOE!$B$47)/(D$5/Calculateur_LCOE!$B$45)+Calculateur_LCOE!$B$56</f>
        <v>5.8983107628721</v>
      </c>
      <c r="E11" s="44" t="n">
        <f aca="false">$A11*Calculateur_LCOE!$B$45/1000+Calculateur_LCOE!$B$46*(Calculateur_LCOE!$B$12+Calculateur_LCOE!$B$47)/(E$5/Calculateur_LCOE!$B$45)+Calculateur_LCOE!$B$56</f>
        <v>5.41037157104792</v>
      </c>
      <c r="F11" s="44" t="n">
        <f aca="false">$A11*Calculateur_LCOE!$B$45/1000+Calculateur_LCOE!$B$46*(Calculateur_LCOE!$B$12+Calculateur_LCOE!$B$47)/(F$5/Calculateur_LCOE!$B$45)+Calculateur_LCOE!$B$56</f>
        <v>5.06184357688779</v>
      </c>
      <c r="G11" s="44" t="n">
        <f aca="false">$A11*Calculateur_LCOE!$B$45/1000+Calculateur_LCOE!$B$46*(Calculateur_LCOE!$B$12+Calculateur_LCOE!$B$47)/(G$5/Calculateur_LCOE!$B$45)+Calculateur_LCOE!$B$56</f>
        <v>4.80044758126769</v>
      </c>
    </row>
    <row r="12" customFormat="false" ht="15" hidden="false" customHeight="false" outlineLevel="0" collapsed="false">
      <c r="A12" s="60" t="n">
        <v>60</v>
      </c>
      <c r="B12" s="44" t="n">
        <f aca="false">$A12*Calculateur_LCOE!$B$45/1000+Calculateur_LCOE!$B$46*(Calculateur_LCOE!$B$12+Calculateur_LCOE!$B$47)/(B$5/Calculateur_LCOE!$B$45)+Calculateur_LCOE!$B$56</f>
        <v>8.43974265255423</v>
      </c>
      <c r="C12" s="44" t="n">
        <f aca="false">$A12*Calculateur_LCOE!$B$45/1000+Calculateur_LCOE!$B$46*(Calculateur_LCOE!$B$12+Calculateur_LCOE!$B$47)/(C$5/Calculateur_LCOE!$B$45)+Calculateur_LCOE!$B$56</f>
        <v>7.21989467299377</v>
      </c>
      <c r="D12" s="44" t="n">
        <f aca="false">$A12*Calculateur_LCOE!$B$45/1000+Calculateur_LCOE!$B$46*(Calculateur_LCOE!$B$12+Calculateur_LCOE!$B$47)/(D$5/Calculateur_LCOE!$B$45)+Calculateur_LCOE!$B$56</f>
        <v>6.4879858852575</v>
      </c>
      <c r="E12" s="44" t="n">
        <f aca="false">$A12*Calculateur_LCOE!$B$45/1000+Calculateur_LCOE!$B$46*(Calculateur_LCOE!$B$12+Calculateur_LCOE!$B$47)/(E$5/Calculateur_LCOE!$B$45)+Calculateur_LCOE!$B$56</f>
        <v>6.00004669343332</v>
      </c>
      <c r="F12" s="44" t="n">
        <f aca="false">$A12*Calculateur_LCOE!$B$45/1000+Calculateur_LCOE!$B$46*(Calculateur_LCOE!$B$12+Calculateur_LCOE!$B$47)/(F$5/Calculateur_LCOE!$B$45)+Calculateur_LCOE!$B$56</f>
        <v>5.65151869927319</v>
      </c>
      <c r="G12" s="44" t="n">
        <f aca="false">$A12*Calculateur_LCOE!$B$45/1000+Calculateur_LCOE!$B$46*(Calculateur_LCOE!$B$12+Calculateur_LCOE!$B$47)/(G$5/Calculateur_LCOE!$B$45)+Calculateur_LCOE!$B$56</f>
        <v>5.3901227036531</v>
      </c>
    </row>
    <row r="13" customFormat="false" ht="15" hidden="false" customHeight="false" outlineLevel="0" collapsed="false">
      <c r="A13" s="60" t="n">
        <v>80</v>
      </c>
      <c r="B13" s="44" t="n">
        <f aca="false">$A13*Calculateur_LCOE!$B$45/1000+Calculateur_LCOE!$B$46*(Calculateur_LCOE!$B$12+Calculateur_LCOE!$B$47)/(B$5/Calculateur_LCOE!$B$45)+Calculateur_LCOE!$B$56</f>
        <v>9.61909289732503</v>
      </c>
      <c r="C13" s="44" t="n">
        <f aca="false">$A13*Calculateur_LCOE!$B$45/1000+Calculateur_LCOE!$B$46*(Calculateur_LCOE!$B$12+Calculateur_LCOE!$B$47)/(C$5/Calculateur_LCOE!$B$45)+Calculateur_LCOE!$B$56</f>
        <v>8.39924491776458</v>
      </c>
      <c r="D13" s="44" t="n">
        <f aca="false">$A13*Calculateur_LCOE!$B$45/1000+Calculateur_LCOE!$B$46*(Calculateur_LCOE!$B$12+Calculateur_LCOE!$B$47)/(D$5/Calculateur_LCOE!$B$45)+Calculateur_LCOE!$B$56</f>
        <v>7.66733613002831</v>
      </c>
      <c r="E13" s="44" t="n">
        <f aca="false">$A13*Calculateur_LCOE!$B$45/1000+Calculateur_LCOE!$B$46*(Calculateur_LCOE!$B$12+Calculateur_LCOE!$B$47)/(E$5/Calculateur_LCOE!$B$45)+Calculateur_LCOE!$B$56</f>
        <v>7.17939693820413</v>
      </c>
      <c r="F13" s="44" t="n">
        <f aca="false">$A13*Calculateur_LCOE!$B$45/1000+Calculateur_LCOE!$B$46*(Calculateur_LCOE!$B$12+Calculateur_LCOE!$B$47)/(F$5/Calculateur_LCOE!$B$45)+Calculateur_LCOE!$B$56</f>
        <v>6.830868944044</v>
      </c>
      <c r="G13" s="44" t="n">
        <f aca="false">$A13*Calculateur_LCOE!$B$45/1000+Calculateur_LCOE!$B$46*(Calculateur_LCOE!$B$12+Calculateur_LCOE!$B$47)/(G$5/Calculateur_LCOE!$B$45)+Calculateur_LCOE!$B$56</f>
        <v>6.5694729484239</v>
      </c>
    </row>
    <row r="14" customFormat="false" ht="15" hidden="false" customHeight="false" outlineLevel="0" collapsed="false">
      <c r="A14" s="16" t="s">
        <v>1218</v>
      </c>
    </row>
    <row r="16" customFormat="false" ht="15" hidden="false" customHeight="false" outlineLevel="0" collapsed="false">
      <c r="A16" s="6" t="s">
        <v>1219</v>
      </c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0" collapsed="false">
      <c r="A17" s="64" t="s">
        <v>1220</v>
      </c>
      <c r="B17" s="14" t="s">
        <v>552</v>
      </c>
    </row>
    <row r="18" customFormat="false" ht="15" hidden="false" customHeight="false" outlineLevel="0" collapsed="false">
      <c r="A18" s="12" t="s">
        <v>1183</v>
      </c>
      <c r="B18" s="66" t="n">
        <f aca="false">INDEX(Calculateur_LCOE!$C$61:$C$66,MATCH($B$17,Calculateur_LCOE!$A$61:$A$66,0))</f>
        <v>0.198698994677706</v>
      </c>
    </row>
    <row r="19" customFormat="false" ht="15" hidden="false" customHeight="false" outlineLevel="0" collapsed="false">
      <c r="A19" s="12" t="s">
        <v>1221</v>
      </c>
      <c r="B19" s="50" t="n">
        <f aca="false">INDEX(Calculateur_LCOE!$F$71:$F$76,MATCH($B$17,Calculateur_LCOE!$A$71:$A$76,0))-INDEX(Calculateur_LCOE!$B$71:$B$76,MATCH($B$17,Calculateur_LCOE!$A$71:$A$76,0))-INDEX(Calculateur_LCOE!$E$71:$E$76,MATCH($B$17,Calculateur_LCOE!$A$71:$A$76,0))</f>
        <v>174.359968975518</v>
      </c>
    </row>
    <row r="20" customFormat="false" ht="15" hidden="false" customHeight="false" outlineLevel="0" collapsed="false">
      <c r="A20" s="12" t="s">
        <v>1222</v>
      </c>
      <c r="B20" s="50" t="n">
        <f aca="false">INDEX(Calculateur_LCOE!$E$71:$E$76,MATCH($B$17,Calculateur_LCOE!$A$71:$A$76,0))/Calculateur_LCOE!$B$6*1000</f>
        <v>150</v>
      </c>
    </row>
    <row r="21" customFormat="false" ht="15" hidden="false" customHeight="false" outlineLevel="0" collapsed="false">
      <c r="A21" s="16" t="s">
        <v>1223</v>
      </c>
    </row>
    <row r="23" customFormat="false" ht="15" hidden="false" customHeight="false" outlineLevel="0" collapsed="false">
      <c r="A23" s="64" t="s">
        <v>1224</v>
      </c>
      <c r="B23" s="65" t="n">
        <v>800</v>
      </c>
      <c r="C23" s="65" t="n">
        <v>1200</v>
      </c>
      <c r="D23" s="65" t="n">
        <v>1600</v>
      </c>
      <c r="E23" s="65" t="n">
        <v>2000</v>
      </c>
      <c r="F23" s="65" t="n">
        <v>2500</v>
      </c>
    </row>
    <row r="24" customFormat="false" ht="15" hidden="false" customHeight="false" outlineLevel="0" collapsed="false">
      <c r="A24" s="60" t="n">
        <v>15</v>
      </c>
      <c r="B24" s="53" t="n">
        <f aca="false">$B$18*1000*($A24*Calculateur_LCOE!$B$45/1000+B$23*(Calculateur_LCOE!$B$12+Calculateur_LCOE!$B$47)/(Calculateur_LCOE!$B$7/Calculateur_LCOE!$B$45)+Calculateur_LCOE!$B$56)+$B$19+$B$20/1000*$A24</f>
        <v>622.721039861035</v>
      </c>
      <c r="C24" s="53" t="n">
        <f aca="false">$B$18*1000*($A24*Calculateur_LCOE!$B$45/1000+C$23*(Calculateur_LCOE!$B$12+Calculateur_LCOE!$B$47)/(Calculateur_LCOE!$B$7/Calculateur_LCOE!$B$45)+Calculateur_LCOE!$B$56)+$B$19+$B$20/1000*$A24</f>
        <v>755.685191009812</v>
      </c>
      <c r="D24" s="53" t="n">
        <f aca="false">$B$18*1000*($A24*Calculateur_LCOE!$B$45/1000+D$23*(Calculateur_LCOE!$B$12+Calculateur_LCOE!$B$47)/(Calculateur_LCOE!$B$7/Calculateur_LCOE!$B$45)+Calculateur_LCOE!$B$56)+$B$19+$B$20/1000*$A24</f>
        <v>888.649342158589</v>
      </c>
      <c r="E24" s="53" t="n">
        <f aca="false">$B$18*1000*($A24*Calculateur_LCOE!$B$45/1000+E$23*(Calculateur_LCOE!$B$12+Calculateur_LCOE!$B$47)/(Calculateur_LCOE!$B$7/Calculateur_LCOE!$B$45)+Calculateur_LCOE!$B$56)+$B$19+$B$20/1000*$A24</f>
        <v>1021.61349330737</v>
      </c>
      <c r="F24" s="53" t="n">
        <f aca="false">$B$18*1000*($A24*Calculateur_LCOE!$B$45/1000+F$23*(Calculateur_LCOE!$B$12+Calculateur_LCOE!$B$47)/(Calculateur_LCOE!$B$7/Calculateur_LCOE!$B$45)+Calculateur_LCOE!$B$56)+$B$19+$B$20/1000*$A24</f>
        <v>1187.81868224334</v>
      </c>
    </row>
    <row r="25" customFormat="false" ht="15" hidden="false" customHeight="false" outlineLevel="0" collapsed="false">
      <c r="A25" s="60" t="n">
        <v>20</v>
      </c>
      <c r="B25" s="53" t="n">
        <f aca="false">$B$18*1000*($A25*Calculateur_LCOE!$B$45/1000+B$23*(Calculateur_LCOE!$B$12+Calculateur_LCOE!$B$47)/(Calculateur_LCOE!$B$7/Calculateur_LCOE!$B$45)+Calculateur_LCOE!$B$56)+$B$19+$B$20/1000*$A25</f>
        <v>682.054966863251</v>
      </c>
      <c r="C25" s="53" t="n">
        <f aca="false">$B$18*1000*($A25*Calculateur_LCOE!$B$45/1000+C$23*(Calculateur_LCOE!$B$12+Calculateur_LCOE!$B$47)/(Calculateur_LCOE!$B$7/Calculateur_LCOE!$B$45)+Calculateur_LCOE!$B$56)+$B$19+$B$20/1000*$A25</f>
        <v>815.019118012028</v>
      </c>
      <c r="D25" s="53" t="n">
        <f aca="false">$B$18*1000*($A25*Calculateur_LCOE!$B$45/1000+D$23*(Calculateur_LCOE!$B$12+Calculateur_LCOE!$B$47)/(Calculateur_LCOE!$B$7/Calculateur_LCOE!$B$45)+Calculateur_LCOE!$B$56)+$B$19+$B$20/1000*$A25</f>
        <v>947.983269160806</v>
      </c>
      <c r="E25" s="53" t="n">
        <f aca="false">$B$18*1000*($A25*Calculateur_LCOE!$B$45/1000+E$23*(Calculateur_LCOE!$B$12+Calculateur_LCOE!$B$47)/(Calculateur_LCOE!$B$7/Calculateur_LCOE!$B$45)+Calculateur_LCOE!$B$56)+$B$19+$B$20/1000*$A25</f>
        <v>1080.94742030958</v>
      </c>
      <c r="F25" s="53" t="n">
        <f aca="false">$B$18*1000*($A25*Calculateur_LCOE!$B$45/1000+F$23*(Calculateur_LCOE!$B$12+Calculateur_LCOE!$B$47)/(Calculateur_LCOE!$B$7/Calculateur_LCOE!$B$45)+Calculateur_LCOE!$B$56)+$B$19+$B$20/1000*$A25</f>
        <v>1247.15260924556</v>
      </c>
    </row>
    <row r="26" customFormat="false" ht="15" hidden="false" customHeight="false" outlineLevel="0" collapsed="false">
      <c r="A26" s="60" t="n">
        <v>25</v>
      </c>
      <c r="B26" s="53" t="n">
        <f aca="false">$B$18*1000*($A26*Calculateur_LCOE!$B$45/1000+B$23*(Calculateur_LCOE!$B$12+Calculateur_LCOE!$B$47)/(Calculateur_LCOE!$B$7/Calculateur_LCOE!$B$45)+Calculateur_LCOE!$B$56)+$B$19+$B$20/1000*$A26</f>
        <v>741.388893865467</v>
      </c>
      <c r="C26" s="53" t="n">
        <f aca="false">$B$18*1000*($A26*Calculateur_LCOE!$B$45/1000+C$23*(Calculateur_LCOE!$B$12+Calculateur_LCOE!$B$47)/(Calculateur_LCOE!$B$7/Calculateur_LCOE!$B$45)+Calculateur_LCOE!$B$56)+$B$19+$B$20/1000*$A26</f>
        <v>874.353045014245</v>
      </c>
      <c r="D26" s="53" t="n">
        <f aca="false">$B$18*1000*($A26*Calculateur_LCOE!$B$45/1000+D$23*(Calculateur_LCOE!$B$12+Calculateur_LCOE!$B$47)/(Calculateur_LCOE!$B$7/Calculateur_LCOE!$B$45)+Calculateur_LCOE!$B$56)+$B$19+$B$20/1000*$A26</f>
        <v>1007.31719616302</v>
      </c>
      <c r="E26" s="53" t="n">
        <f aca="false">$B$18*1000*($A26*Calculateur_LCOE!$B$45/1000+E$23*(Calculateur_LCOE!$B$12+Calculateur_LCOE!$B$47)/(Calculateur_LCOE!$B$7/Calculateur_LCOE!$B$45)+Calculateur_LCOE!$B$56)+$B$19+$B$20/1000*$A26</f>
        <v>1140.2813473118</v>
      </c>
      <c r="F26" s="53" t="n">
        <f aca="false">$B$18*1000*($A26*Calculateur_LCOE!$B$45/1000+F$23*(Calculateur_LCOE!$B$12+Calculateur_LCOE!$B$47)/(Calculateur_LCOE!$B$7/Calculateur_LCOE!$B$45)+Calculateur_LCOE!$B$56)+$B$19+$B$20/1000*$A26</f>
        <v>1306.48653624777</v>
      </c>
    </row>
    <row r="27" customFormat="false" ht="15" hidden="false" customHeight="false" outlineLevel="0" collapsed="false">
      <c r="A27" s="60" t="n">
        <v>30</v>
      </c>
      <c r="B27" s="53" t="n">
        <f aca="false">$B$18*1000*($A27*Calculateur_LCOE!$B$45/1000+B$23*(Calculateur_LCOE!$B$12+Calculateur_LCOE!$B$47)/(Calculateur_LCOE!$B$7/Calculateur_LCOE!$B$45)+Calculateur_LCOE!$B$56)+$B$19+$B$20/1000*$A27</f>
        <v>800.722820867683</v>
      </c>
      <c r="C27" s="53" t="n">
        <f aca="false">$B$18*1000*($A27*Calculateur_LCOE!$B$45/1000+C$23*(Calculateur_LCOE!$B$12+Calculateur_LCOE!$B$47)/(Calculateur_LCOE!$B$7/Calculateur_LCOE!$B$45)+Calculateur_LCOE!$B$56)+$B$19+$B$20/1000*$A27</f>
        <v>933.686972016461</v>
      </c>
      <c r="D27" s="53" t="n">
        <f aca="false">$B$18*1000*($A27*Calculateur_LCOE!$B$45/1000+D$23*(Calculateur_LCOE!$B$12+Calculateur_LCOE!$B$47)/(Calculateur_LCOE!$B$7/Calculateur_LCOE!$B$45)+Calculateur_LCOE!$B$56)+$B$19+$B$20/1000*$A27</f>
        <v>1066.65112316524</v>
      </c>
      <c r="E27" s="53" t="n">
        <f aca="false">$B$18*1000*($A27*Calculateur_LCOE!$B$45/1000+E$23*(Calculateur_LCOE!$B$12+Calculateur_LCOE!$B$47)/(Calculateur_LCOE!$B$7/Calculateur_LCOE!$B$45)+Calculateur_LCOE!$B$56)+$B$19+$B$20/1000*$A27</f>
        <v>1199.61527431402</v>
      </c>
      <c r="F27" s="53" t="n">
        <f aca="false">$B$18*1000*($A27*Calculateur_LCOE!$B$45/1000+F$23*(Calculateur_LCOE!$B$12+Calculateur_LCOE!$B$47)/(Calculateur_LCOE!$B$7/Calculateur_LCOE!$B$45)+Calculateur_LCOE!$B$56)+$B$19+$B$20/1000*$A27</f>
        <v>1365.82046324999</v>
      </c>
    </row>
    <row r="28" customFormat="false" ht="15" hidden="false" customHeight="false" outlineLevel="0" collapsed="false">
      <c r="A28" s="60" t="n">
        <v>40</v>
      </c>
      <c r="B28" s="53" t="n">
        <f aca="false">$B$18*1000*($A28*Calculateur_LCOE!$B$45/1000+B$23*(Calculateur_LCOE!$B$12+Calculateur_LCOE!$B$47)/(Calculateur_LCOE!$B$7/Calculateur_LCOE!$B$45)+Calculateur_LCOE!$B$56)+$B$19+$B$20/1000*$A28</f>
        <v>919.390674872116</v>
      </c>
      <c r="C28" s="53" t="n">
        <f aca="false">$B$18*1000*($A28*Calculateur_LCOE!$B$45/1000+C$23*(Calculateur_LCOE!$B$12+Calculateur_LCOE!$B$47)/(Calculateur_LCOE!$B$7/Calculateur_LCOE!$B$45)+Calculateur_LCOE!$B$56)+$B$19+$B$20/1000*$A28</f>
        <v>1052.35482602089</v>
      </c>
      <c r="D28" s="53" t="n">
        <f aca="false">$B$18*1000*($A28*Calculateur_LCOE!$B$45/1000+D$23*(Calculateur_LCOE!$B$12+Calculateur_LCOE!$B$47)/(Calculateur_LCOE!$B$7/Calculateur_LCOE!$B$45)+Calculateur_LCOE!$B$56)+$B$19+$B$20/1000*$A28</f>
        <v>1185.31897716967</v>
      </c>
      <c r="E28" s="53" t="n">
        <f aca="false">$B$18*1000*($A28*Calculateur_LCOE!$B$45/1000+E$23*(Calculateur_LCOE!$B$12+Calculateur_LCOE!$B$47)/(Calculateur_LCOE!$B$7/Calculateur_LCOE!$B$45)+Calculateur_LCOE!$B$56)+$B$19+$B$20/1000*$A28</f>
        <v>1318.28312831845</v>
      </c>
      <c r="F28" s="53" t="n">
        <f aca="false">$B$18*1000*($A28*Calculateur_LCOE!$B$45/1000+F$23*(Calculateur_LCOE!$B$12+Calculateur_LCOE!$B$47)/(Calculateur_LCOE!$B$7/Calculateur_LCOE!$B$45)+Calculateur_LCOE!$B$56)+$B$19+$B$20/1000*$A28</f>
        <v>1484.48831725442</v>
      </c>
    </row>
    <row r="29" customFormat="false" ht="15" hidden="false" customHeight="false" outlineLevel="0" collapsed="false">
      <c r="A29" s="60" t="n">
        <v>50</v>
      </c>
      <c r="B29" s="53" t="n">
        <f aca="false">$B$18*1000*($A29*Calculateur_LCOE!$B$45/1000+B$23*(Calculateur_LCOE!$B$12+Calculateur_LCOE!$B$47)/(Calculateur_LCOE!$B$7/Calculateur_LCOE!$B$45)+Calculateur_LCOE!$B$56)+$B$19+$B$20/1000*$A29</f>
        <v>1038.05852887655</v>
      </c>
      <c r="C29" s="53" t="n">
        <f aca="false">$B$18*1000*($A29*Calculateur_LCOE!$B$45/1000+C$23*(Calculateur_LCOE!$B$12+Calculateur_LCOE!$B$47)/(Calculateur_LCOE!$B$7/Calculateur_LCOE!$B$45)+Calculateur_LCOE!$B$56)+$B$19+$B$20/1000*$A29</f>
        <v>1171.02268002533</v>
      </c>
      <c r="D29" s="53" t="n">
        <f aca="false">$B$18*1000*($A29*Calculateur_LCOE!$B$45/1000+D$23*(Calculateur_LCOE!$B$12+Calculateur_LCOE!$B$47)/(Calculateur_LCOE!$B$7/Calculateur_LCOE!$B$45)+Calculateur_LCOE!$B$56)+$B$19+$B$20/1000*$A29</f>
        <v>1303.9868311741</v>
      </c>
      <c r="E29" s="53" t="n">
        <f aca="false">$B$18*1000*($A29*Calculateur_LCOE!$B$45/1000+E$23*(Calculateur_LCOE!$B$12+Calculateur_LCOE!$B$47)/(Calculateur_LCOE!$B$7/Calculateur_LCOE!$B$45)+Calculateur_LCOE!$B$56)+$B$19+$B$20/1000*$A29</f>
        <v>1436.95098232288</v>
      </c>
      <c r="F29" s="53" t="n">
        <f aca="false">$B$18*1000*($A29*Calculateur_LCOE!$B$45/1000+F$23*(Calculateur_LCOE!$B$12+Calculateur_LCOE!$B$47)/(Calculateur_LCOE!$B$7/Calculateur_LCOE!$B$45)+Calculateur_LCOE!$B$56)+$B$19+$B$20/1000*$A29</f>
        <v>1603.15617125885</v>
      </c>
    </row>
    <row r="30" customFormat="false" ht="15" hidden="false" customHeight="false" outlineLevel="0" collapsed="false">
      <c r="A30" s="60" t="n">
        <v>60</v>
      </c>
      <c r="B30" s="53" t="n">
        <f aca="false">$B$18*1000*($A30*Calculateur_LCOE!$B$45/1000+B$23*(Calculateur_LCOE!$B$12+Calculateur_LCOE!$B$47)/(Calculateur_LCOE!$B$7/Calculateur_LCOE!$B$45)+Calculateur_LCOE!$B$56)+$B$19+$B$20/1000*$A30</f>
        <v>1156.72638288098</v>
      </c>
      <c r="C30" s="53" t="n">
        <f aca="false">$B$18*1000*($A30*Calculateur_LCOE!$B$45/1000+C$23*(Calculateur_LCOE!$B$12+Calculateur_LCOE!$B$47)/(Calculateur_LCOE!$B$7/Calculateur_LCOE!$B$45)+Calculateur_LCOE!$B$56)+$B$19+$B$20/1000*$A30</f>
        <v>1289.69053402976</v>
      </c>
      <c r="D30" s="53" t="n">
        <f aca="false">$B$18*1000*($A30*Calculateur_LCOE!$B$45/1000+D$23*(Calculateur_LCOE!$B$12+Calculateur_LCOE!$B$47)/(Calculateur_LCOE!$B$7/Calculateur_LCOE!$B$45)+Calculateur_LCOE!$B$56)+$B$19+$B$20/1000*$A30</f>
        <v>1422.65468517854</v>
      </c>
      <c r="E30" s="53" t="n">
        <f aca="false">$B$18*1000*($A30*Calculateur_LCOE!$B$45/1000+E$23*(Calculateur_LCOE!$B$12+Calculateur_LCOE!$B$47)/(Calculateur_LCOE!$B$7/Calculateur_LCOE!$B$45)+Calculateur_LCOE!$B$56)+$B$19+$B$20/1000*$A30</f>
        <v>1555.61883632731</v>
      </c>
      <c r="F30" s="53" t="n">
        <f aca="false">$B$18*1000*($A30*Calculateur_LCOE!$B$45/1000+F$23*(Calculateur_LCOE!$B$12+Calculateur_LCOE!$B$47)/(Calculateur_LCOE!$B$7/Calculateur_LCOE!$B$45)+Calculateur_LCOE!$B$56)+$B$19+$B$20/1000*$A30</f>
        <v>1721.82402526329</v>
      </c>
    </row>
    <row r="31" customFormat="false" ht="15" hidden="false" customHeight="false" outlineLevel="0" collapsed="false">
      <c r="A31" s="60" t="n">
        <v>80</v>
      </c>
      <c r="B31" s="53" t="n">
        <f aca="false">$B$18*1000*($A31*Calculateur_LCOE!$B$45/1000+B$23*(Calculateur_LCOE!$B$12+Calculateur_LCOE!$B$47)/(Calculateur_LCOE!$B$7/Calculateur_LCOE!$B$45)+Calculateur_LCOE!$B$56)+$B$19+$B$20/1000*$A31</f>
        <v>1394.06209088985</v>
      </c>
      <c r="C31" s="53" t="n">
        <f aca="false">$B$18*1000*($A31*Calculateur_LCOE!$B$45/1000+C$23*(Calculateur_LCOE!$B$12+Calculateur_LCOE!$B$47)/(Calculateur_LCOE!$B$7/Calculateur_LCOE!$B$45)+Calculateur_LCOE!$B$56)+$B$19+$B$20/1000*$A31</f>
        <v>1527.02624203862</v>
      </c>
      <c r="D31" s="53" t="n">
        <f aca="false">$B$18*1000*($A31*Calculateur_LCOE!$B$45/1000+D$23*(Calculateur_LCOE!$B$12+Calculateur_LCOE!$B$47)/(Calculateur_LCOE!$B$7/Calculateur_LCOE!$B$45)+Calculateur_LCOE!$B$56)+$B$19+$B$20/1000*$A31</f>
        <v>1659.9903931874</v>
      </c>
      <c r="E31" s="53" t="n">
        <f aca="false">$B$18*1000*($A31*Calculateur_LCOE!$B$45/1000+E$23*(Calculateur_LCOE!$B$12+Calculateur_LCOE!$B$47)/(Calculateur_LCOE!$B$7/Calculateur_LCOE!$B$45)+Calculateur_LCOE!$B$56)+$B$19+$B$20/1000*$A31</f>
        <v>1792.95454433618</v>
      </c>
      <c r="F31" s="53" t="n">
        <f aca="false">$B$18*1000*($A31*Calculateur_LCOE!$B$45/1000+F$23*(Calculateur_LCOE!$B$12+Calculateur_LCOE!$B$47)/(Calculateur_LCOE!$B$7/Calculateur_LCOE!$B$45)+Calculateur_LCOE!$B$56)+$B$19+$B$20/1000*$A31</f>
        <v>1959.15973327215</v>
      </c>
    </row>
  </sheetData>
  <dataValidations count="1">
    <dataValidation allowBlank="false" errorStyle="stop" operator="between" showDropDown="false" showErrorMessage="false" showInputMessage="false" sqref="B17" type="list">
      <formula1>"e-methanol,e-DME,e-kerosene,e-diesel,e-gasoline,e-ammonia"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8" min="3" style="0" width="13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1225</v>
      </c>
    </row>
    <row r="2" customFormat="false" ht="15" hidden="false" customHeight="false" outlineLevel="0" collapsed="false">
      <c r="A2" s="2" t="s">
        <v>1226</v>
      </c>
    </row>
    <row r="4" customFormat="false" ht="15" hidden="false" customHeight="false" outlineLevel="0" collapsed="false">
      <c r="A4" s="3" t="s">
        <v>1227</v>
      </c>
      <c r="B4" s="3" t="s">
        <v>1228</v>
      </c>
      <c r="C4" s="3" t="s">
        <v>552</v>
      </c>
      <c r="D4" s="3" t="s">
        <v>250</v>
      </c>
      <c r="E4" s="3" t="s">
        <v>590</v>
      </c>
      <c r="F4" s="3" t="s">
        <v>294</v>
      </c>
      <c r="G4" s="3" t="s">
        <v>632</v>
      </c>
      <c r="H4" s="3" t="s">
        <v>696</v>
      </c>
      <c r="I4" s="3" t="s">
        <v>1229</v>
      </c>
    </row>
    <row r="5" customFormat="false" ht="15" hidden="false" customHeight="false" outlineLevel="0" collapsed="false">
      <c r="A5" s="34" t="s">
        <v>1230</v>
      </c>
      <c r="B5" s="46" t="n">
        <v>0.2</v>
      </c>
      <c r="C5" s="39" t="n">
        <v>4</v>
      </c>
      <c r="D5" s="39" t="n">
        <v>2</v>
      </c>
      <c r="E5" s="39" t="n">
        <v>3</v>
      </c>
      <c r="F5" s="39" t="n">
        <v>3</v>
      </c>
      <c r="G5" s="39" t="n">
        <v>2</v>
      </c>
      <c r="H5" s="39" t="n">
        <v>5</v>
      </c>
      <c r="I5" s="51" t="s">
        <v>1231</v>
      </c>
    </row>
    <row r="6" customFormat="false" ht="15" hidden="false" customHeight="false" outlineLevel="0" collapsed="false">
      <c r="A6" s="34" t="s">
        <v>1232</v>
      </c>
      <c r="B6" s="46" t="n">
        <v>0.2</v>
      </c>
      <c r="C6" s="39" t="n">
        <v>3</v>
      </c>
      <c r="D6" s="39" t="n">
        <v>3</v>
      </c>
      <c r="E6" s="39" t="n">
        <v>2</v>
      </c>
      <c r="F6" s="39" t="n">
        <v>2</v>
      </c>
      <c r="G6" s="39" t="n">
        <v>2</v>
      </c>
      <c r="H6" s="39" t="n">
        <v>4</v>
      </c>
      <c r="I6" s="51" t="s">
        <v>1233</v>
      </c>
    </row>
    <row r="7" customFormat="false" ht="15" hidden="false" customHeight="false" outlineLevel="0" collapsed="false">
      <c r="A7" s="34" t="s">
        <v>1234</v>
      </c>
      <c r="B7" s="46" t="n">
        <v>0.1</v>
      </c>
      <c r="C7" s="39" t="n">
        <v>3</v>
      </c>
      <c r="D7" s="39" t="n">
        <v>2</v>
      </c>
      <c r="E7" s="39" t="n">
        <v>5</v>
      </c>
      <c r="F7" s="39" t="n">
        <v>5</v>
      </c>
      <c r="G7" s="39" t="n">
        <v>5</v>
      </c>
      <c r="H7" s="39" t="n">
        <v>3</v>
      </c>
      <c r="I7" s="51" t="s">
        <v>1235</v>
      </c>
    </row>
    <row r="8" customFormat="false" ht="15" hidden="false" customHeight="false" outlineLevel="0" collapsed="false">
      <c r="A8" s="34" t="s">
        <v>1236</v>
      </c>
      <c r="B8" s="46" t="n">
        <v>0.2</v>
      </c>
      <c r="C8" s="39" t="n">
        <v>4</v>
      </c>
      <c r="D8" s="39" t="n">
        <v>2</v>
      </c>
      <c r="E8" s="39" t="n">
        <v>4</v>
      </c>
      <c r="F8" s="39" t="n">
        <v>2</v>
      </c>
      <c r="G8" s="39" t="n">
        <v>2</v>
      </c>
      <c r="H8" s="39" t="n">
        <v>5</v>
      </c>
      <c r="I8" s="51" t="s">
        <v>1237</v>
      </c>
    </row>
    <row r="9" customFormat="false" ht="15" hidden="false" customHeight="false" outlineLevel="0" collapsed="false">
      <c r="A9" s="34" t="s">
        <v>1238</v>
      </c>
      <c r="B9" s="46" t="n">
        <v>0.1</v>
      </c>
      <c r="C9" s="39" t="n">
        <v>2</v>
      </c>
      <c r="D9" s="39" t="n">
        <v>2</v>
      </c>
      <c r="E9" s="39" t="n">
        <v>1</v>
      </c>
      <c r="F9" s="39" t="n">
        <v>1</v>
      </c>
      <c r="G9" s="39" t="n">
        <v>1</v>
      </c>
      <c r="H9" s="39" t="n">
        <v>5</v>
      </c>
      <c r="I9" s="51" t="s">
        <v>1239</v>
      </c>
    </row>
    <row r="10" customFormat="false" ht="15" hidden="false" customHeight="false" outlineLevel="0" collapsed="false">
      <c r="A10" s="34" t="s">
        <v>1240</v>
      </c>
      <c r="B10" s="46" t="n">
        <v>0.1</v>
      </c>
      <c r="C10" s="39" t="n">
        <v>3</v>
      </c>
      <c r="D10" s="39" t="n">
        <v>2</v>
      </c>
      <c r="E10" s="39" t="n">
        <v>3</v>
      </c>
      <c r="F10" s="39" t="n">
        <v>3</v>
      </c>
      <c r="G10" s="39" t="n">
        <v>2</v>
      </c>
      <c r="H10" s="39" t="n">
        <v>3</v>
      </c>
      <c r="I10" s="51" t="s">
        <v>1241</v>
      </c>
    </row>
    <row r="11" customFormat="false" ht="15" hidden="false" customHeight="false" outlineLevel="0" collapsed="false">
      <c r="A11" s="34" t="s">
        <v>1242</v>
      </c>
      <c r="B11" s="46" t="n">
        <v>0.1</v>
      </c>
      <c r="C11" s="39" t="n">
        <v>4</v>
      </c>
      <c r="D11" s="39" t="n">
        <v>2</v>
      </c>
      <c r="E11" s="39" t="n">
        <v>3</v>
      </c>
      <c r="F11" s="39" t="n">
        <v>2</v>
      </c>
      <c r="G11" s="39" t="n">
        <v>2</v>
      </c>
      <c r="H11" s="39" t="n">
        <v>5</v>
      </c>
      <c r="I11" s="51" t="s">
        <v>1243</v>
      </c>
    </row>
    <row r="12" customFormat="false" ht="15" hidden="false" customHeight="false" outlineLevel="0" collapsed="false">
      <c r="A12" s="64" t="s">
        <v>1244</v>
      </c>
      <c r="B12" s="67" t="n">
        <f aca="false">SUM(B5:B11)</f>
        <v>1</v>
      </c>
    </row>
    <row r="13" customFormat="false" ht="15" hidden="false" customHeight="false" outlineLevel="0" collapsed="false">
      <c r="A13" s="64" t="s">
        <v>1245</v>
      </c>
      <c r="C13" s="57" t="n">
        <f aca="false">SUMPRODUCT($B$5:$B$11,C5:C11)/$B$12</f>
        <v>3.4</v>
      </c>
      <c r="D13" s="57" t="n">
        <f aca="false">SUMPRODUCT($B$5:$B$11,D5:D11)/$B$12</f>
        <v>2.2</v>
      </c>
      <c r="E13" s="57" t="n">
        <f aca="false">SUMPRODUCT($B$5:$B$11,E5:E11)/$B$12</f>
        <v>3</v>
      </c>
      <c r="F13" s="57" t="n">
        <f aca="false">SUMPRODUCT($B$5:$B$11,F5:F11)/$B$12</f>
        <v>2.5</v>
      </c>
      <c r="G13" s="57" t="n">
        <f aca="false">SUMPRODUCT($B$5:$B$11,G5:G11)/$B$12</f>
        <v>2.2</v>
      </c>
      <c r="H13" s="57" t="n">
        <f aca="false">SUMPRODUCT($B$5:$B$11,H5:H11)/$B$12</f>
        <v>4.4</v>
      </c>
    </row>
    <row r="14" customFormat="false" ht="15" hidden="false" customHeight="false" outlineLevel="0" collapsed="false">
      <c r="A14" s="64" t="s">
        <v>1246</v>
      </c>
      <c r="C14" s="24" t="n">
        <f aca="false">RANK(C13,$C$13:$H$13)</f>
        <v>2</v>
      </c>
      <c r="D14" s="24" t="n">
        <f aca="false">RANK(D13,$C$13:$H$13)</f>
        <v>5</v>
      </c>
      <c r="E14" s="24" t="n">
        <f aca="false">RANK(E13,$C$13:$H$13)</f>
        <v>3</v>
      </c>
      <c r="F14" s="24" t="n">
        <f aca="false">RANK(F13,$C$13:$H$13)</f>
        <v>4</v>
      </c>
      <c r="G14" s="24" t="n">
        <f aca="false">RANK(G13,$C$13:$H$13)</f>
        <v>5</v>
      </c>
      <c r="H14" s="24" t="n">
        <f aca="false">RANK(H13,$C$13:$H$13)</f>
        <v>1</v>
      </c>
    </row>
    <row r="15" customFormat="false" ht="15" hidden="false" customHeight="false" outlineLevel="0" collapsed="false">
      <c r="A15" s="12" t="s">
        <v>1247</v>
      </c>
      <c r="C15" s="50" t="n">
        <f aca="false">Calculateur_LCOE!F71</f>
        <v>1116.51267984603</v>
      </c>
      <c r="D15" s="50" t="n">
        <f aca="false">Calculateur_LCOE!F72</f>
        <v>1553.92923976124</v>
      </c>
      <c r="E15" s="50" t="n">
        <f aca="false">Calculateur_LCOE!F73</f>
        <v>2686.21063078874</v>
      </c>
      <c r="F15" s="50" t="n">
        <f aca="false">Calculateur_LCOE!F74</f>
        <v>2685.51092571675</v>
      </c>
      <c r="G15" s="50" t="n">
        <f aca="false">Calculateur_LCOE!F75</f>
        <v>2504.28288815125</v>
      </c>
      <c r="H15" s="50" t="n">
        <f aca="false">Calculateur_LCOE!F76</f>
        <v>1052.02978358453</v>
      </c>
    </row>
    <row r="17" customFormat="false" ht="15" hidden="false" customHeight="false" outlineLevel="0" collapsed="false">
      <c r="A17" s="16" t="s">
        <v>1248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16"/>
    <col collapsed="false" customWidth="true" hidden="false" outlineLevel="0" max="8" min="8" style="0" width="38"/>
  </cols>
  <sheetData>
    <row r="1" customFormat="false" ht="17.35" hidden="false" customHeight="false" outlineLevel="0" collapsed="false">
      <c r="A1" s="1" t="s">
        <v>1249</v>
      </c>
    </row>
    <row r="2" customFormat="false" ht="15" hidden="false" customHeight="false" outlineLevel="0" collapsed="false">
      <c r="A2" s="2" t="s">
        <v>1250</v>
      </c>
    </row>
    <row r="4" customFormat="false" ht="15" hidden="false" customHeight="false" outlineLevel="0" collapsed="false">
      <c r="A4" s="3" t="s">
        <v>1024</v>
      </c>
      <c r="B4" s="3" t="s">
        <v>1251</v>
      </c>
      <c r="C4" s="3" t="s">
        <v>1252</v>
      </c>
      <c r="D4" s="3" t="s">
        <v>1092</v>
      </c>
      <c r="E4" s="3" t="s">
        <v>1253</v>
      </c>
      <c r="F4" s="3" t="s">
        <v>1229</v>
      </c>
      <c r="G4" s="3" t="s">
        <v>1254</v>
      </c>
      <c r="H4" s="3" t="s">
        <v>1255</v>
      </c>
    </row>
    <row r="5" customFormat="false" ht="15" hidden="false" customHeight="false" outlineLevel="0" collapsed="false">
      <c r="A5" s="4" t="s">
        <v>1256</v>
      </c>
      <c r="B5" s="4" t="s">
        <v>977</v>
      </c>
      <c r="C5" s="68" t="n">
        <f aca="false">Calculateur_LCOE!$B$6</f>
        <v>30</v>
      </c>
      <c r="D5" s="4" t="s">
        <v>1095</v>
      </c>
      <c r="E5" s="4" t="s">
        <v>1257</v>
      </c>
      <c r="F5" s="4" t="s">
        <v>1258</v>
      </c>
      <c r="G5" s="4" t="s">
        <v>1259</v>
      </c>
      <c r="H5" s="4" t="s">
        <v>1260</v>
      </c>
    </row>
    <row r="6" customFormat="false" ht="15" hidden="false" customHeight="false" outlineLevel="0" collapsed="false">
      <c r="A6" s="4" t="s">
        <v>1261</v>
      </c>
      <c r="B6" s="4" t="s">
        <v>1262</v>
      </c>
      <c r="C6" s="68" t="n">
        <f aca="false">Calculateur_LCOE!$B$7</f>
        <v>5000</v>
      </c>
      <c r="D6" s="4" t="s">
        <v>1098</v>
      </c>
      <c r="E6" s="4" t="s">
        <v>1263</v>
      </c>
      <c r="F6" s="4" t="s">
        <v>1264</v>
      </c>
      <c r="G6" s="4" t="s">
        <v>1259</v>
      </c>
      <c r="H6" s="4" t="s">
        <v>1265</v>
      </c>
    </row>
    <row r="7" customFormat="false" ht="15" hidden="false" customHeight="false" outlineLevel="0" collapsed="false">
      <c r="A7" s="4" t="s">
        <v>1266</v>
      </c>
      <c r="B7" s="4" t="s">
        <v>1267</v>
      </c>
      <c r="C7" s="69" t="n">
        <f aca="false">Calculateur_LCOE!$B$10</f>
        <v>0.08</v>
      </c>
      <c r="D7" s="4" t="s">
        <v>1107</v>
      </c>
      <c r="E7" s="4" t="s">
        <v>1268</v>
      </c>
      <c r="F7" s="4" t="s">
        <v>1269</v>
      </c>
      <c r="G7" s="4" t="s">
        <v>916</v>
      </c>
      <c r="H7" s="4" t="s">
        <v>1270</v>
      </c>
    </row>
    <row r="8" customFormat="false" ht="15" hidden="false" customHeight="false" outlineLevel="0" collapsed="false">
      <c r="A8" s="4" t="s">
        <v>1271</v>
      </c>
      <c r="B8" s="4" t="s">
        <v>1272</v>
      </c>
      <c r="C8" s="68" t="n">
        <f aca="false">Calculateur_LCOE!$B$11</f>
        <v>20</v>
      </c>
      <c r="D8" s="4" t="s">
        <v>1110</v>
      </c>
      <c r="E8" s="4" t="s">
        <v>1273</v>
      </c>
      <c r="F8" s="4" t="s">
        <v>1274</v>
      </c>
      <c r="G8" s="4" t="s">
        <v>921</v>
      </c>
      <c r="H8" s="4" t="s">
        <v>1275</v>
      </c>
    </row>
    <row r="9" customFormat="false" ht="15" hidden="false" customHeight="false" outlineLevel="0" collapsed="false">
      <c r="A9" s="4" t="s">
        <v>1276</v>
      </c>
      <c r="B9" s="4" t="s">
        <v>1113</v>
      </c>
      <c r="C9" s="68" t="n">
        <f aca="false">Calculateur_LCOE!$B$13</f>
        <v>0.92</v>
      </c>
      <c r="D9" s="4" t="s">
        <v>1277</v>
      </c>
      <c r="E9" s="4" t="s">
        <v>1278</v>
      </c>
      <c r="F9" s="4" t="s">
        <v>1279</v>
      </c>
      <c r="G9" s="4" t="s">
        <v>979</v>
      </c>
      <c r="H9" s="4" t="s">
        <v>1280</v>
      </c>
    </row>
    <row r="10" customFormat="false" ht="15" hidden="false" customHeight="false" outlineLevel="0" collapsed="false">
      <c r="A10" s="4" t="s">
        <v>1281</v>
      </c>
      <c r="B10" s="4" t="s">
        <v>1115</v>
      </c>
      <c r="C10" s="68" t="n">
        <f aca="false">Calculateur_LCOE!$B$14</f>
        <v>2</v>
      </c>
      <c r="D10" s="4" t="s">
        <v>1116</v>
      </c>
      <c r="E10" s="4" t="s">
        <v>1282</v>
      </c>
      <c r="F10" s="4" t="s">
        <v>1283</v>
      </c>
      <c r="G10" s="4" t="s">
        <v>979</v>
      </c>
      <c r="H10" s="4" t="s">
        <v>1284</v>
      </c>
    </row>
    <row r="11" customFormat="false" ht="15" hidden="false" customHeight="false" outlineLevel="0" collapsed="false">
      <c r="A11" s="4" t="s">
        <v>1285</v>
      </c>
      <c r="B11" s="4" t="s">
        <v>1286</v>
      </c>
      <c r="C11" s="69" t="n">
        <f aca="false">Calculateur_LCOE!$B$19</f>
        <v>0.9</v>
      </c>
      <c r="D11" s="4" t="s">
        <v>1107</v>
      </c>
      <c r="E11" s="4" t="s">
        <v>1287</v>
      </c>
      <c r="F11" s="4" t="s">
        <v>1288</v>
      </c>
      <c r="G11" s="4" t="s">
        <v>921</v>
      </c>
      <c r="H11" s="4" t="s">
        <v>1289</v>
      </c>
    </row>
    <row r="12" customFormat="false" ht="15" hidden="false" customHeight="false" outlineLevel="0" collapsed="false">
      <c r="A12" s="4" t="s">
        <v>1290</v>
      </c>
      <c r="B12" s="4" t="s">
        <v>1291</v>
      </c>
      <c r="C12" s="69" t="n">
        <f aca="false">Calculateur_LCOE!$B$20</f>
        <v>0.04</v>
      </c>
      <c r="D12" s="4" t="s">
        <v>1128</v>
      </c>
      <c r="E12" s="4" t="s">
        <v>1292</v>
      </c>
      <c r="F12" s="4" t="s">
        <v>1293</v>
      </c>
      <c r="G12" s="4" t="s">
        <v>921</v>
      </c>
      <c r="H12" s="4" t="s">
        <v>1294</v>
      </c>
    </row>
    <row r="13" customFormat="false" ht="15" hidden="false" customHeight="false" outlineLevel="0" collapsed="false">
      <c r="A13" s="4" t="s">
        <v>1295</v>
      </c>
      <c r="B13" s="4" t="s">
        <v>1296</v>
      </c>
      <c r="C13" s="69" t="n">
        <f aca="false">Calculateur_LCOE!$B$21</f>
        <v>0.95</v>
      </c>
      <c r="D13" s="4" t="s">
        <v>1107</v>
      </c>
      <c r="E13" s="4" t="s">
        <v>1297</v>
      </c>
      <c r="F13" s="4" t="s">
        <v>1298</v>
      </c>
      <c r="G13" s="4" t="s">
        <v>921</v>
      </c>
      <c r="H13" s="4" t="s">
        <v>1299</v>
      </c>
    </row>
    <row r="14" customFormat="false" ht="15" hidden="false" customHeight="false" outlineLevel="0" collapsed="false">
      <c r="A14" s="4" t="s">
        <v>1300</v>
      </c>
      <c r="B14" s="4" t="s">
        <v>1301</v>
      </c>
      <c r="C14" s="4"/>
      <c r="D14" s="4" t="s">
        <v>1302</v>
      </c>
      <c r="E14" s="4" t="s">
        <v>1303</v>
      </c>
      <c r="F14" s="4" t="s">
        <v>1304</v>
      </c>
      <c r="G14" s="4" t="s">
        <v>916</v>
      </c>
      <c r="H14" s="4" t="s">
        <v>1305</v>
      </c>
    </row>
    <row r="15" customFormat="false" ht="15" hidden="false" customHeight="false" outlineLevel="0" collapsed="false">
      <c r="A15" s="4" t="s">
        <v>1306</v>
      </c>
      <c r="B15" s="4" t="s">
        <v>1307</v>
      </c>
      <c r="C15" s="4"/>
      <c r="D15" s="4" t="s">
        <v>1162</v>
      </c>
      <c r="E15" s="4" t="s">
        <v>1308</v>
      </c>
      <c r="F15" s="4" t="s">
        <v>1309</v>
      </c>
      <c r="G15" s="4" t="s">
        <v>921</v>
      </c>
      <c r="H15" s="4" t="s">
        <v>1310</v>
      </c>
    </row>
    <row r="16" customFormat="false" ht="15" hidden="false" customHeight="false" outlineLevel="0" collapsed="false">
      <c r="A16" s="4" t="s">
        <v>1311</v>
      </c>
      <c r="B16" s="4" t="s">
        <v>1312</v>
      </c>
      <c r="C16" s="4"/>
      <c r="D16" s="4" t="s">
        <v>1313</v>
      </c>
      <c r="E16" s="4" t="s">
        <v>1314</v>
      </c>
      <c r="F16" s="4" t="s">
        <v>1315</v>
      </c>
      <c r="G16" s="4" t="s">
        <v>979</v>
      </c>
      <c r="H16" s="4" t="s">
        <v>1316</v>
      </c>
    </row>
    <row r="17" customFormat="false" ht="15" hidden="false" customHeight="false" outlineLevel="0" collapsed="false">
      <c r="A17" s="4" t="s">
        <v>1317</v>
      </c>
      <c r="B17" s="4" t="s">
        <v>1318</v>
      </c>
      <c r="C17" s="4"/>
      <c r="D17" s="4" t="s">
        <v>1319</v>
      </c>
      <c r="E17" s="4" t="s">
        <v>1320</v>
      </c>
      <c r="F17" s="4" t="s">
        <v>1321</v>
      </c>
      <c r="G17" s="4" t="s">
        <v>921</v>
      </c>
      <c r="H17" s="4" t="s">
        <v>1322</v>
      </c>
    </row>
    <row r="18" customFormat="false" ht="15" hidden="false" customHeight="false" outlineLevel="0" collapsed="false">
      <c r="A18" s="4" t="s">
        <v>1323</v>
      </c>
      <c r="B18" s="4" t="s">
        <v>1324</v>
      </c>
      <c r="C18" s="4"/>
      <c r="D18" s="4" t="s">
        <v>1325</v>
      </c>
      <c r="E18" s="4" t="s">
        <v>115</v>
      </c>
      <c r="F18" s="4" t="s">
        <v>1326</v>
      </c>
      <c r="G18" s="4" t="s">
        <v>916</v>
      </c>
      <c r="H18" s="4" t="s">
        <v>1327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1328</v>
      </c>
    </row>
    <row r="2" customFormat="false" ht="15" hidden="false" customHeight="false" outlineLevel="0" collapsed="false">
      <c r="A2" s="2" t="s">
        <v>1329</v>
      </c>
    </row>
    <row r="4" customFormat="false" ht="31.5" hidden="false" customHeight="true" outlineLevel="0" collapsed="false">
      <c r="A4" s="3" t="s">
        <v>1330</v>
      </c>
      <c r="B4" s="3" t="s">
        <v>1331</v>
      </c>
      <c r="C4" s="3" t="s">
        <v>1332</v>
      </c>
    </row>
    <row r="5" customFormat="false" ht="23.85" hidden="false" customHeight="false" outlineLevel="0" collapsed="false">
      <c r="A5" s="4" t="s">
        <v>379</v>
      </c>
      <c r="B5" s="4" t="s">
        <v>1333</v>
      </c>
      <c r="C5" s="4" t="s">
        <v>921</v>
      </c>
    </row>
    <row r="6" customFormat="false" ht="23.85" hidden="false" customHeight="false" outlineLevel="0" collapsed="false">
      <c r="A6" s="5" t="s">
        <v>1334</v>
      </c>
      <c r="B6" s="5" t="s">
        <v>1335</v>
      </c>
      <c r="C6" s="5" t="s">
        <v>916</v>
      </c>
    </row>
    <row r="7" customFormat="false" ht="15" hidden="false" customHeight="false" outlineLevel="0" collapsed="false">
      <c r="A7" s="4" t="s">
        <v>1336</v>
      </c>
      <c r="B7" s="4" t="s">
        <v>1337</v>
      </c>
      <c r="C7" s="4" t="s">
        <v>979</v>
      </c>
    </row>
    <row r="8" customFormat="false" ht="23.85" hidden="false" customHeight="false" outlineLevel="0" collapsed="false">
      <c r="A8" s="5" t="s">
        <v>1338</v>
      </c>
      <c r="B8" s="5" t="s">
        <v>1339</v>
      </c>
      <c r="C8" s="5" t="s">
        <v>921</v>
      </c>
    </row>
    <row r="9" customFormat="false" ht="23.85" hidden="false" customHeight="false" outlineLevel="0" collapsed="false">
      <c r="A9" s="4" t="s">
        <v>1340</v>
      </c>
      <c r="B9" s="4" t="s">
        <v>1341</v>
      </c>
      <c r="C9" s="4" t="s">
        <v>921</v>
      </c>
    </row>
    <row r="10" customFormat="false" ht="15" hidden="false" customHeight="false" outlineLevel="0" collapsed="false">
      <c r="A10" s="5" t="s">
        <v>1342</v>
      </c>
      <c r="B10" s="5" t="s">
        <v>1343</v>
      </c>
      <c r="C10" s="5" t="s">
        <v>979</v>
      </c>
    </row>
    <row r="11" customFormat="false" ht="15" hidden="false" customHeight="false" outlineLevel="0" collapsed="false">
      <c r="A11" s="4" t="s">
        <v>1344</v>
      </c>
      <c r="B11" s="4" t="s">
        <v>1345</v>
      </c>
      <c r="C11" s="4" t="s">
        <v>921</v>
      </c>
    </row>
    <row r="12" customFormat="false" ht="15" hidden="false" customHeight="false" outlineLevel="0" collapsed="false">
      <c r="A12" s="5" t="s">
        <v>1346</v>
      </c>
      <c r="B12" s="5" t="s">
        <v>1347</v>
      </c>
      <c r="C12" s="5" t="s">
        <v>921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0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" t="s">
        <v>1348</v>
      </c>
    </row>
    <row r="2" customFormat="false" ht="15" hidden="false" customHeight="false" outlineLevel="0" collapsed="false">
      <c r="A2" s="2" t="s">
        <v>1349</v>
      </c>
    </row>
    <row r="4" customFormat="false" ht="31.5" hidden="false" customHeight="true" outlineLevel="0" collapsed="false">
      <c r="A4" s="3" t="s">
        <v>549</v>
      </c>
      <c r="B4" s="3" t="s">
        <v>62</v>
      </c>
      <c r="C4" s="3" t="s">
        <v>1350</v>
      </c>
    </row>
    <row r="5" customFormat="false" ht="15" hidden="false" customHeight="false" outlineLevel="0" collapsed="false">
      <c r="A5" s="4" t="s">
        <v>919</v>
      </c>
      <c r="B5" s="4" t="s">
        <v>1351</v>
      </c>
      <c r="C5" s="4" t="s">
        <v>1352</v>
      </c>
    </row>
    <row r="6" customFormat="false" ht="15" hidden="false" customHeight="false" outlineLevel="0" collapsed="false">
      <c r="A6" s="5" t="s">
        <v>1353</v>
      </c>
      <c r="B6" s="5" t="s">
        <v>1354</v>
      </c>
      <c r="C6" s="5" t="s">
        <v>1355</v>
      </c>
    </row>
    <row r="7" customFormat="false" ht="15" hidden="false" customHeight="false" outlineLevel="0" collapsed="false">
      <c r="A7" s="4" t="s">
        <v>1356</v>
      </c>
      <c r="B7" s="4" t="s">
        <v>1357</v>
      </c>
      <c r="C7" s="4" t="s">
        <v>63</v>
      </c>
    </row>
    <row r="8" customFormat="false" ht="15" hidden="false" customHeight="false" outlineLevel="0" collapsed="false">
      <c r="A8" s="5" t="s">
        <v>1358</v>
      </c>
      <c r="B8" s="5" t="s">
        <v>1359</v>
      </c>
      <c r="C8" s="5" t="s">
        <v>150</v>
      </c>
    </row>
    <row r="9" customFormat="false" ht="15" hidden="false" customHeight="false" outlineLevel="0" collapsed="false">
      <c r="A9" s="4" t="s">
        <v>1360</v>
      </c>
      <c r="B9" s="4" t="s">
        <v>1361</v>
      </c>
      <c r="C9" s="4" t="s">
        <v>1362</v>
      </c>
    </row>
    <row r="10" customFormat="false" ht="15" hidden="false" customHeight="false" outlineLevel="0" collapsed="false">
      <c r="A10" s="5" t="s">
        <v>1363</v>
      </c>
      <c r="B10" s="5" t="s">
        <v>1364</v>
      </c>
      <c r="C10" s="5" t="s">
        <v>1365</v>
      </c>
    </row>
    <row r="11" customFormat="false" ht="15" hidden="false" customHeight="false" outlineLevel="0" collapsed="false">
      <c r="A11" s="4" t="s">
        <v>1366</v>
      </c>
      <c r="B11" s="4" t="s">
        <v>1367</v>
      </c>
      <c r="C11" s="4" t="s">
        <v>1365</v>
      </c>
    </row>
    <row r="12" customFormat="false" ht="15" hidden="false" customHeight="false" outlineLevel="0" collapsed="false">
      <c r="A12" s="5" t="s">
        <v>1368</v>
      </c>
      <c r="B12" s="5" t="s">
        <v>1369</v>
      </c>
      <c r="C12" s="5" t="s">
        <v>1365</v>
      </c>
    </row>
    <row r="13" customFormat="false" ht="15" hidden="false" customHeight="false" outlineLevel="0" collapsed="false">
      <c r="A13" s="4" t="s">
        <v>1370</v>
      </c>
      <c r="B13" s="4" t="s">
        <v>1371</v>
      </c>
      <c r="C13" s="4" t="s">
        <v>1365</v>
      </c>
    </row>
    <row r="14" customFormat="false" ht="15" hidden="false" customHeight="false" outlineLevel="0" collapsed="false">
      <c r="A14" s="5" t="s">
        <v>1372</v>
      </c>
      <c r="B14" s="5" t="s">
        <v>1373</v>
      </c>
      <c r="C14" s="5" t="s">
        <v>613</v>
      </c>
    </row>
    <row r="15" customFormat="false" ht="15" hidden="false" customHeight="false" outlineLevel="0" collapsed="false">
      <c r="A15" s="4" t="s">
        <v>1374</v>
      </c>
      <c r="B15" s="4" t="s">
        <v>1375</v>
      </c>
      <c r="C15" s="4" t="s">
        <v>1376</v>
      </c>
    </row>
    <row r="16" customFormat="false" ht="15" hidden="false" customHeight="false" outlineLevel="0" collapsed="false">
      <c r="A16" s="5" t="s">
        <v>1377</v>
      </c>
      <c r="B16" s="5" t="s">
        <v>1378</v>
      </c>
      <c r="C16" s="5" t="s">
        <v>819</v>
      </c>
    </row>
    <row r="17" customFormat="false" ht="15" hidden="false" customHeight="false" outlineLevel="0" collapsed="false">
      <c r="A17" s="4" t="s">
        <v>1379</v>
      </c>
      <c r="B17" s="4" t="s">
        <v>1380</v>
      </c>
      <c r="C17" s="4" t="s">
        <v>819</v>
      </c>
    </row>
    <row r="18" customFormat="false" ht="15" hidden="false" customHeight="false" outlineLevel="0" collapsed="false">
      <c r="A18" s="5" t="s">
        <v>1381</v>
      </c>
      <c r="B18" s="5" t="s">
        <v>1382</v>
      </c>
      <c r="C18" s="5" t="s">
        <v>1383</v>
      </c>
    </row>
    <row r="19" customFormat="false" ht="15" hidden="false" customHeight="false" outlineLevel="0" collapsed="false">
      <c r="A19" s="4" t="s">
        <v>1384</v>
      </c>
      <c r="B19" s="4" t="s">
        <v>1385</v>
      </c>
      <c r="C19" s="4" t="s">
        <v>1386</v>
      </c>
    </row>
    <row r="20" customFormat="false" ht="15" hidden="false" customHeight="false" outlineLevel="0" collapsed="false">
      <c r="A20" s="5" t="s">
        <v>1387</v>
      </c>
      <c r="B20" s="5" t="s">
        <v>1388</v>
      </c>
      <c r="C20" s="5" t="s">
        <v>1389</v>
      </c>
    </row>
    <row r="21" customFormat="false" ht="15" hidden="false" customHeight="false" outlineLevel="0" collapsed="false">
      <c r="A21" s="4" t="s">
        <v>1390</v>
      </c>
      <c r="B21" s="4" t="s">
        <v>1391</v>
      </c>
      <c r="C21" s="4" t="s">
        <v>1392</v>
      </c>
    </row>
    <row r="22" customFormat="false" ht="15" hidden="false" customHeight="false" outlineLevel="0" collapsed="false">
      <c r="A22" s="5" t="s">
        <v>1393</v>
      </c>
      <c r="B22" s="5" t="s">
        <v>1394</v>
      </c>
      <c r="C22" s="5" t="s">
        <v>1395</v>
      </c>
    </row>
    <row r="23" customFormat="false" ht="15" hidden="false" customHeight="false" outlineLevel="0" collapsed="false">
      <c r="A23" s="4" t="s">
        <v>1396</v>
      </c>
      <c r="B23" s="4" t="s">
        <v>1397</v>
      </c>
      <c r="C23" s="4" t="s">
        <v>1398</v>
      </c>
    </row>
    <row r="24" customFormat="false" ht="15" hidden="false" customHeight="false" outlineLevel="0" collapsed="false">
      <c r="A24" s="5" t="s">
        <v>1399</v>
      </c>
      <c r="B24" s="5" t="s">
        <v>1400</v>
      </c>
      <c r="C24" s="5" t="s">
        <v>1401</v>
      </c>
    </row>
    <row r="25" customFormat="false" ht="15" hidden="false" customHeight="false" outlineLevel="0" collapsed="false">
      <c r="A25" s="4" t="s">
        <v>1402</v>
      </c>
      <c r="B25" s="4" t="s">
        <v>1403</v>
      </c>
      <c r="C25" s="4" t="s">
        <v>1404</v>
      </c>
    </row>
    <row r="26" customFormat="false" ht="15" hidden="false" customHeight="false" outlineLevel="0" collapsed="false">
      <c r="A26" s="5" t="s">
        <v>1405</v>
      </c>
      <c r="B26" s="5" t="s">
        <v>1406</v>
      </c>
      <c r="C26" s="5" t="s">
        <v>1404</v>
      </c>
    </row>
    <row r="27" customFormat="false" ht="15" hidden="false" customHeight="false" outlineLevel="0" collapsed="false">
      <c r="A27" s="4" t="s">
        <v>1407</v>
      </c>
      <c r="B27" s="4" t="s">
        <v>1408</v>
      </c>
      <c r="C27" s="4" t="s">
        <v>1409</v>
      </c>
    </row>
    <row r="28" customFormat="false" ht="15" hidden="false" customHeight="false" outlineLevel="0" collapsed="false">
      <c r="A28" s="5" t="s">
        <v>1410</v>
      </c>
      <c r="B28" s="5" t="s">
        <v>1411</v>
      </c>
      <c r="C28" s="5" t="s">
        <v>1412</v>
      </c>
    </row>
    <row r="29" customFormat="false" ht="15" hidden="false" customHeight="false" outlineLevel="0" collapsed="false">
      <c r="A29" s="4" t="s">
        <v>1413</v>
      </c>
      <c r="B29" s="4" t="s">
        <v>1414</v>
      </c>
      <c r="C29" s="4" t="s">
        <v>1415</v>
      </c>
    </row>
    <row r="30" customFormat="false" ht="15" hidden="false" customHeight="false" outlineLevel="0" collapsed="false">
      <c r="A30" s="5" t="s">
        <v>1416</v>
      </c>
      <c r="B30" s="5" t="s">
        <v>1417</v>
      </c>
      <c r="C30" s="5" t="s">
        <v>1401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2026-10-19T09:23:33Z</dcterms:created>
  <dc:creator>openpyxl</dc:creator>
  <dc:description/>
  <dc:language>en-US</dc:language>
  <cp:lastModifiedBy/>
  <dcterms:modified xsi:type="dcterms:W3CDTF">2026-10-19T09:23:33Z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